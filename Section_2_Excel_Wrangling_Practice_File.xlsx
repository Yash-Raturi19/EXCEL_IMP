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defaultThemeVersion="124226"/>
  <mc:AlternateContent xmlns:mc="http://schemas.openxmlformats.org/markup-compatibility/2006">
    <mc:Choice Requires="x15">
      <x15ac:absPath xmlns:x15ac="http://schemas.microsoft.com/office/spreadsheetml/2010/11/ac" url="C:\Users\YASH\Desktop\EXCEL     FOR Data analyst\"/>
    </mc:Choice>
  </mc:AlternateContent>
  <bookViews>
    <workbookView xWindow="0" yWindow="0" windowWidth="23040" windowHeight="9384" activeTab="3"/>
  </bookViews>
  <sheets>
    <sheet name="EmployeeData" sheetId="1" r:id="rId1"/>
    <sheet name="Sheet1" sheetId="2" r:id="rId2"/>
    <sheet name="if,sum" sheetId="3" r:id="rId3"/>
    <sheet name="Sheet3" sheetId="5" r:id="rId4"/>
  </sheets>
  <definedNames>
    <definedName name="Slicer_name">#N/A</definedName>
    <definedName name="Slicer_Region">#N/A</definedName>
    <definedName name="Slicer_State">#N/A</definedName>
  </definedNames>
  <calcPr calcId="152511"/>
  <pivotCaches>
    <pivotCache cacheId="1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D18" i="3" l="1"/>
  <c r="D17" i="3"/>
  <c r="D16" i="3"/>
  <c r="D15" i="3"/>
  <c r="D10" i="3"/>
  <c r="E11" i="3"/>
  <c r="D11" i="3"/>
  <c r="D2" i="3"/>
  <c r="E2" i="3"/>
  <c r="D14" i="3"/>
  <c r="D13" i="3" l="1"/>
  <c r="D12" i="3"/>
  <c r="E9" i="3"/>
  <c r="E8" i="3"/>
  <c r="E3" i="3"/>
  <c r="E4" i="3"/>
  <c r="E5" i="3"/>
  <c r="E6" i="3"/>
  <c r="D3" i="3"/>
  <c r="D4" i="3"/>
  <c r="D5" i="3"/>
  <c r="D6" i="3"/>
  <c r="I3" i="2" l="1"/>
  <c r="I4" i="2"/>
  <c r="I5" i="2"/>
  <c r="I6" i="2"/>
  <c r="I2" i="2"/>
  <c r="B21" i="2"/>
  <c r="B20" i="2"/>
  <c r="A17" i="2"/>
  <c r="B17" i="2" s="1"/>
  <c r="A15" i="2"/>
  <c r="A16" i="2"/>
  <c r="A14" i="2"/>
  <c r="F3" i="2"/>
  <c r="F4" i="2"/>
  <c r="F5" i="2"/>
  <c r="F6" i="2"/>
  <c r="F2" i="2"/>
  <c r="E3" i="2"/>
  <c r="E4" i="2"/>
  <c r="E5" i="2"/>
  <c r="E6" i="2"/>
  <c r="E2" i="2"/>
  <c r="D3" i="2"/>
  <c r="D4" i="2"/>
  <c r="D5" i="2"/>
  <c r="D6" i="2"/>
  <c r="D2" i="2"/>
  <c r="A12" i="2"/>
  <c r="A11" i="2"/>
  <c r="A10" i="2"/>
  <c r="L2" i="1"/>
  <c r="B19" i="2" l="1"/>
  <c r="B18" i="2"/>
  <c r="S3" i="1"/>
  <c r="S4" i="1"/>
  <c r="S5" i="1"/>
  <c r="S6" i="1"/>
  <c r="S7" i="1"/>
  <c r="S2" i="1"/>
  <c r="L3" i="1"/>
  <c r="L4" i="1"/>
  <c r="L5" i="1"/>
  <c r="M5" i="1" s="1"/>
  <c r="N5" i="1" s="1"/>
  <c r="L6" i="1"/>
  <c r="L7" i="1"/>
  <c r="R3" i="1"/>
  <c r="R4" i="1"/>
  <c r="R5" i="1"/>
  <c r="R6" i="1"/>
  <c r="R7" i="1"/>
  <c r="R2" i="1"/>
  <c r="Q3" i="1"/>
  <c r="Q4" i="1"/>
  <c r="Q5" i="1"/>
  <c r="Q6" i="1"/>
  <c r="Q7" i="1"/>
  <c r="Q2" i="1"/>
  <c r="P3" i="1"/>
  <c r="P4" i="1"/>
  <c r="P5" i="1"/>
  <c r="P6" i="1"/>
  <c r="P7" i="1"/>
  <c r="P2" i="1"/>
  <c r="O3" i="1"/>
  <c r="O4" i="1"/>
  <c r="O6" i="1"/>
  <c r="O7" i="1"/>
  <c r="O2" i="1"/>
  <c r="M2" i="1"/>
  <c r="N2" i="1" s="1"/>
  <c r="M3" i="1"/>
  <c r="N3" i="1" s="1"/>
  <c r="M4" i="1"/>
  <c r="N4" i="1" s="1"/>
  <c r="M6" i="1"/>
  <c r="N6" i="1" s="1"/>
  <c r="M7" i="1"/>
  <c r="N7" i="1" s="1"/>
  <c r="O5" i="1" l="1"/>
</calcChain>
</file>

<file path=xl/sharedStrings.xml><?xml version="1.0" encoding="utf-8"?>
<sst xmlns="http://schemas.openxmlformats.org/spreadsheetml/2006/main" count="101" uniqueCount="71">
  <si>
    <t>Full Name</t>
  </si>
  <si>
    <t>Email</t>
  </si>
  <si>
    <t>Department</t>
  </si>
  <si>
    <t>Join Date</t>
  </si>
  <si>
    <t>Leave Balance</t>
  </si>
  <si>
    <t>Basic Salary</t>
  </si>
  <si>
    <t>Bonus %</t>
  </si>
  <si>
    <t>Project Start</t>
  </si>
  <si>
    <t>Project End</t>
  </si>
  <si>
    <t>Weekday Joined</t>
  </si>
  <si>
    <t>bob Brown</t>
  </si>
  <si>
    <t>Eva White</t>
  </si>
  <si>
    <t>john@example.com</t>
  </si>
  <si>
    <t>jane@example.com</t>
  </si>
  <si>
    <t>alice@example.com</t>
  </si>
  <si>
    <t>bob@example.com</t>
  </si>
  <si>
    <t>eva@example.com</t>
  </si>
  <si>
    <t>Sales</t>
  </si>
  <si>
    <t>Marketing</t>
  </si>
  <si>
    <t>HR</t>
  </si>
  <si>
    <t>John   Doe</t>
  </si>
  <si>
    <t xml:space="preserve">  jane smith</t>
  </si>
  <si>
    <t xml:space="preserve">   ALICE JOHNSON</t>
  </si>
  <si>
    <t>name trim</t>
  </si>
  <si>
    <t>NAME upper</t>
  </si>
  <si>
    <t>namelower</t>
  </si>
  <si>
    <t>best fit name</t>
  </si>
  <si>
    <t>EMAIL reght</t>
  </si>
  <si>
    <t>EMAIL LEFT</t>
  </si>
  <si>
    <t>MID</t>
  </si>
  <si>
    <t>john</t>
  </si>
  <si>
    <t>example.com</t>
  </si>
  <si>
    <t>jane</t>
  </si>
  <si>
    <t>alice</t>
  </si>
  <si>
    <t>bob</t>
  </si>
  <si>
    <t>eva</t>
  </si>
  <si>
    <t>Column1</t>
  </si>
  <si>
    <t>ADD TWO STR</t>
  </si>
  <si>
    <t>USE TEx TO COL "@"</t>
  </si>
  <si>
    <t xml:space="preserve"> ALICE JOHNSON</t>
  </si>
  <si>
    <t>jane smith</t>
  </si>
  <si>
    <t>today-1</t>
  </si>
  <si>
    <t>today</t>
  </si>
  <si>
    <t>tomorrow+1</t>
  </si>
  <si>
    <t>year</t>
  </si>
  <si>
    <t>month</t>
  </si>
  <si>
    <t>day</t>
  </si>
  <si>
    <t>DIFF OF MONTHS</t>
  </si>
  <si>
    <t>NETWORKDAYS</t>
  </si>
  <si>
    <t>DATE DIFF</t>
  </si>
  <si>
    <t>salart  h or l</t>
  </si>
  <si>
    <t>USE of OR</t>
  </si>
  <si>
    <t>Mr</t>
  </si>
  <si>
    <t>Ms</t>
  </si>
  <si>
    <t>USE OF AND</t>
  </si>
  <si>
    <t>AND</t>
  </si>
  <si>
    <t>OR</t>
  </si>
  <si>
    <t>VLOOKUP</t>
  </si>
  <si>
    <t>HLOOKUP</t>
  </si>
  <si>
    <t>index + match</t>
  </si>
  <si>
    <t>index + match USE</t>
  </si>
  <si>
    <t>LOOKUP</t>
  </si>
  <si>
    <t>Maharashtra</t>
  </si>
  <si>
    <t>Tamil Nadu</t>
  </si>
  <si>
    <t>Karnataka</t>
  </si>
  <si>
    <t>Gujarat</t>
  </si>
  <si>
    <t>Row Labels</t>
  </si>
  <si>
    <t>Grand Total</t>
  </si>
  <si>
    <t>Column Labels</t>
  </si>
  <si>
    <t>(blank)</t>
  </si>
  <si>
    <t>Sum of Price per Unit</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</si>
</sst>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hh:mm:ss"/>
    <numFmt numFmtId="165" formatCode="[$-F800]dddd\,\ mmmm\ dd\,\ yyyy"/>
  </numFmts>
  <fonts count="6" x14ac:knownFonts="1">
    <font>
      <sz val="11"/>
      <color theme="1"/>
      <name val="Calibri"/>
      <family val="2"/>
      <scheme val="minor"/>
    </font>
    <font>
      <b/>
      <sz val="11"/>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sz val="11"/>
      <color rgb="FF9C6500"/>
      <name val="Calibri"/>
      <family val="2"/>
      <scheme val="minor"/>
    </font>
  </fonts>
  <fills count="6">
    <fill>
      <patternFill patternType="none"/>
    </fill>
    <fill>
      <patternFill patternType="gray125"/>
    </fill>
    <fill>
      <patternFill patternType="solid">
        <fgColor rgb="FFC6EFCE"/>
      </patternFill>
    </fill>
    <fill>
      <patternFill patternType="solid">
        <fgColor rgb="FFFFC7CE"/>
      </patternFill>
    </fill>
    <fill>
      <patternFill patternType="solid">
        <fgColor rgb="FFF2F2F2"/>
      </patternFill>
    </fill>
    <fill>
      <patternFill patternType="solid">
        <fgColor rgb="FFFFEB9C"/>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rgb="FF7F7F7F"/>
      </left>
      <right style="thin">
        <color rgb="FF7F7F7F"/>
      </right>
      <top style="thin">
        <color rgb="FF7F7F7F"/>
      </top>
      <bottom style="thin">
        <color rgb="FF7F7F7F"/>
      </bottom>
      <diagonal/>
    </border>
  </borders>
  <cellStyleXfs count="5">
    <xf numFmtId="0" fontId="0" fillId="0" borderId="0"/>
    <xf numFmtId="0" fontId="2" fillId="2" borderId="0" applyNumberFormat="0" applyBorder="0" applyAlignment="0" applyProtection="0"/>
    <xf numFmtId="0" fontId="3" fillId="3" borderId="0" applyNumberFormat="0" applyBorder="0" applyAlignment="0" applyProtection="0"/>
    <xf numFmtId="0" fontId="4" fillId="4" borderId="3" applyNumberFormat="0" applyAlignment="0" applyProtection="0"/>
    <xf numFmtId="0" fontId="5" fillId="5" borderId="0" applyNumberFormat="0" applyBorder="0" applyAlignment="0" applyProtection="0"/>
  </cellStyleXfs>
  <cellXfs count="25">
    <xf numFmtId="0" fontId="0" fillId="0" borderId="0" xfId="0"/>
    <xf numFmtId="0" fontId="1" fillId="0" borderId="1" xfId="0" applyFont="1" applyBorder="1" applyAlignment="1">
      <alignment horizontal="center" vertical="top"/>
    </xf>
    <xf numFmtId="164" fontId="0" fillId="0" borderId="0" xfId="0" applyNumberFormat="1"/>
    <xf numFmtId="0" fontId="0" fillId="0" borderId="0" xfId="0" applyBorder="1"/>
    <xf numFmtId="0" fontId="3" fillId="3" borderId="2" xfId="2" applyBorder="1" applyAlignment="1">
      <alignment horizontal="center" vertical="top"/>
    </xf>
    <xf numFmtId="0" fontId="2" fillId="2" borderId="2" xfId="1" applyBorder="1" applyAlignment="1">
      <alignment horizontal="center" vertical="top"/>
    </xf>
    <xf numFmtId="0" fontId="2" fillId="2" borderId="0" xfId="1"/>
    <xf numFmtId="0" fontId="2" fillId="2" borderId="0" xfId="1" applyBorder="1"/>
    <xf numFmtId="0" fontId="1" fillId="0" borderId="1" xfId="0" applyFont="1" applyBorder="1" applyAlignment="1">
      <alignment horizontal="left" vertical="center"/>
    </xf>
    <xf numFmtId="0" fontId="0" fillId="0" borderId="0" xfId="0" applyAlignment="1">
      <alignment horizontal="left" vertical="center"/>
    </xf>
    <xf numFmtId="14" fontId="0" fillId="0" borderId="0" xfId="0" applyNumberFormat="1" applyAlignment="1">
      <alignment horizontal="left" vertical="center"/>
    </xf>
    <xf numFmtId="14" fontId="0" fillId="0" borderId="0" xfId="0" applyNumberFormat="1"/>
    <xf numFmtId="21" fontId="0" fillId="0" borderId="0" xfId="0" applyNumberFormat="1" applyAlignment="1">
      <alignment horizontal="left" vertical="center"/>
    </xf>
    <xf numFmtId="0" fontId="4" fillId="4" borderId="3" xfId="3"/>
    <xf numFmtId="21" fontId="4" fillId="4" borderId="3" xfId="3" applyNumberFormat="1"/>
    <xf numFmtId="22" fontId="0" fillId="0" borderId="0" xfId="0" applyNumberFormat="1" applyAlignment="1">
      <alignment horizontal="left" vertical="center"/>
    </xf>
    <xf numFmtId="0" fontId="4" fillId="4" borderId="3" xfId="3" applyAlignment="1">
      <alignment horizontal="left" vertical="center"/>
    </xf>
    <xf numFmtId="165" fontId="0" fillId="0" borderId="0" xfId="0" applyNumberFormat="1"/>
    <xf numFmtId="14" fontId="1" fillId="0" borderId="1" xfId="0" applyNumberFormat="1" applyFont="1" applyBorder="1" applyAlignment="1">
      <alignment horizontal="center" vertical="top"/>
    </xf>
    <xf numFmtId="0" fontId="5" fillId="5" borderId="0" xfId="4"/>
    <xf numFmtId="0" fontId="2" fillId="2" borderId="3" xfId="1" applyBorder="1"/>
    <xf numFmtId="0" fontId="3" fillId="3" borderId="0" xfId="2"/>
    <xf numFmtId="0" fontId="0" fillId="0" borderId="0" xfId="0" pivotButton="1"/>
    <xf numFmtId="0" fontId="0" fillId="0" borderId="0" xfId="0" applyAlignment="1">
      <alignment horizontal="left"/>
    </xf>
    <xf numFmtId="0" fontId="0" fillId="0" borderId="0" xfId="0" applyNumberFormat="1"/>
  </cellXfs>
  <cellStyles count="5">
    <cellStyle name="Bad" xfId="2" builtinId="27"/>
    <cellStyle name="Calculation" xfId="3" builtinId="22"/>
    <cellStyle name="Good" xfId="1" builtinId="26"/>
    <cellStyle name="Neutral" xfId="4" builtinId="2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clustered"/>
        <c:varyColors val="0"/>
        <c:ser>
          <c:idx val="0"/>
          <c:order val="0"/>
          <c:tx>
            <c:strRef>
              <c:f>Sheet1!$G$1</c:f>
              <c:strCache>
                <c:ptCount val="1"/>
                <c:pt idx="0">
                  <c:v>Project Start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Sheet1!$A$2:$A$6</c:f>
              <c:strCache>
                <c:ptCount val="5"/>
                <c:pt idx="0">
                  <c:v>John   Doe</c:v>
                </c:pt>
                <c:pt idx="1">
                  <c:v>jane smith</c:v>
                </c:pt>
                <c:pt idx="2">
                  <c:v> ALICE JOHNSON</c:v>
                </c:pt>
                <c:pt idx="3">
                  <c:v>bob Brown</c:v>
                </c:pt>
                <c:pt idx="4">
                  <c:v>Eva White</c:v>
                </c:pt>
              </c:strCache>
            </c:strRef>
          </c:cat>
          <c:val>
            <c:numRef>
              <c:f>Sheet1!$G$2:$G$6</c:f>
              <c:numCache>
                <c:formatCode>m/d/yyyy</c:formatCode>
                <c:ptCount val="5"/>
                <c:pt idx="0">
                  <c:v>45444</c:v>
                </c:pt>
                <c:pt idx="1">
                  <c:v>45444</c:v>
                </c:pt>
                <c:pt idx="2">
                  <c:v>45444</c:v>
                </c:pt>
                <c:pt idx="3">
                  <c:v>45444</c:v>
                </c:pt>
                <c:pt idx="4">
                  <c:v>45444</c:v>
                </c:pt>
              </c:numCache>
            </c:numRef>
          </c:val>
        </c:ser>
        <c:ser>
          <c:idx val="1"/>
          <c:order val="1"/>
          <c:tx>
            <c:strRef>
              <c:f>Sheet1!$H$1</c:f>
              <c:strCache>
                <c:ptCount val="1"/>
                <c:pt idx="0">
                  <c:v>Project End</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val>
            <c:numRef>
              <c:f>Sheet1!$H$2:$H$6</c:f>
              <c:numCache>
                <c:formatCode>m/d/yyyy</c:formatCode>
                <c:ptCount val="5"/>
                <c:pt idx="0">
                  <c:v>45458</c:v>
                </c:pt>
                <c:pt idx="1">
                  <c:v>45461</c:v>
                </c:pt>
                <c:pt idx="2">
                  <c:v>45463</c:v>
                </c:pt>
                <c:pt idx="3">
                  <c:v>45468</c:v>
                </c:pt>
                <c:pt idx="4">
                  <c:v>45473</c:v>
                </c:pt>
              </c:numCache>
            </c:numRef>
          </c:val>
        </c:ser>
        <c:dLbls>
          <c:dLblPos val="outEnd"/>
          <c:showLegendKey val="0"/>
          <c:showVal val="1"/>
          <c:showCatName val="0"/>
          <c:showSerName val="0"/>
          <c:showPercent val="0"/>
          <c:showBubbleSize val="0"/>
        </c:dLbls>
        <c:gapWidth val="182"/>
        <c:axId val="1658544320"/>
        <c:axId val="1658547584"/>
        <c:extLst>
          <c:ext xmlns:c15="http://schemas.microsoft.com/office/drawing/2012/chart" uri="{02D57815-91ED-43cb-92C2-25804820EDAC}">
            <c15:filteredBarSeries>
              <c15:ser>
                <c:idx val="2"/>
                <c:order val="2"/>
                <c:tx>
                  <c:strRef>
                    <c:extLst>
                      <c:ext uri="{02D57815-91ED-43cb-92C2-25804820EDAC}">
                        <c15:formulaRef>
                          <c15:sqref>Sheet1!$I$1</c15:sqref>
                        </c15:formulaRef>
                      </c:ext>
                    </c:extLst>
                    <c:strCache>
                      <c:ptCount val="1"/>
                      <c:pt idx="0">
                        <c:v>DATE DIFF</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Sheet1!$I$2:$I$6</c15:sqref>
                        </c15:formulaRef>
                      </c:ext>
                    </c:extLst>
                    <c:numCache>
                      <c:formatCode>General</c:formatCode>
                      <c:ptCount val="5"/>
                      <c:pt idx="0">
                        <c:v>14</c:v>
                      </c:pt>
                      <c:pt idx="1">
                        <c:v>17</c:v>
                      </c:pt>
                      <c:pt idx="2">
                        <c:v>19</c:v>
                      </c:pt>
                      <c:pt idx="3">
                        <c:v>24</c:v>
                      </c:pt>
                      <c:pt idx="4">
                        <c:v>29</c:v>
                      </c:pt>
                    </c:numCache>
                  </c:numRef>
                </c:val>
              </c15:ser>
            </c15:filteredBarSeries>
          </c:ext>
        </c:extLst>
      </c:barChart>
      <c:catAx>
        <c:axId val="16585443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547584"/>
        <c:crosses val="autoZero"/>
        <c:auto val="1"/>
        <c:lblAlgn val="ctr"/>
        <c:lblOffset val="100"/>
        <c:noMultiLvlLbl val="0"/>
      </c:catAx>
      <c:valAx>
        <c:axId val="1658547584"/>
        <c:scaling>
          <c:orientation val="minMax"/>
        </c:scaling>
        <c:delete val="0"/>
        <c:axPos val="b"/>
        <c:numFmt formatCode="m/d/yyyy"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5854432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[Section_2_Excel_Wrangling_Practice_File.xlsx]Sheet3!PivotTable1</c:name>
    <c:fmtId val="1"/>
  </c:pivotSource>
  <c:chart>
    <c:autoTitleDeleted val="1"/>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Sheet3!$B$3:$B$4</c:f>
              <c:strCache>
                <c:ptCount val="1"/>
                <c:pt idx="0">
                  <c:v>Gujarat</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5</c:v>
                </c:pt>
                <c:pt idx="1">
                  <c:v>6</c:v>
                </c:pt>
                <c:pt idx="2">
                  <c:v>7</c:v>
                </c:pt>
                <c:pt idx="3">
                  <c:v>9</c:v>
                </c:pt>
                <c:pt idx="4">
                  <c:v>10</c:v>
                </c:pt>
                <c:pt idx="5">
                  <c:v>11</c:v>
                </c:pt>
                <c:pt idx="6">
                  <c:v>17</c:v>
                </c:pt>
                <c:pt idx="7">
                  <c:v>18</c:v>
                </c:pt>
                <c:pt idx="8">
                  <c:v>19</c:v>
                </c:pt>
                <c:pt idx="9">
                  <c:v>20</c:v>
                </c:pt>
              </c:strCache>
            </c:strRef>
          </c:cat>
          <c:val>
            <c:numRef>
              <c:f>Sheet3!$B$5:$B$15</c:f>
              <c:numCache>
                <c:formatCode>General</c:formatCode>
                <c:ptCount val="10"/>
                <c:pt idx="0">
                  <c:v>967.6</c:v>
                </c:pt>
                <c:pt idx="8">
                  <c:v>4896.3100000000004</c:v>
                </c:pt>
                <c:pt idx="9">
                  <c:v>1027.53</c:v>
                </c:pt>
              </c:numCache>
            </c:numRef>
          </c:val>
        </c:ser>
        <c:ser>
          <c:idx val="1"/>
          <c:order val="1"/>
          <c:tx>
            <c:strRef>
              <c:f>Sheet3!$C$3:$C$4</c:f>
              <c:strCache>
                <c:ptCount val="1"/>
                <c:pt idx="0">
                  <c:v>Karnataka</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5</c:v>
                </c:pt>
                <c:pt idx="1">
                  <c:v>6</c:v>
                </c:pt>
                <c:pt idx="2">
                  <c:v>7</c:v>
                </c:pt>
                <c:pt idx="3">
                  <c:v>9</c:v>
                </c:pt>
                <c:pt idx="4">
                  <c:v>10</c:v>
                </c:pt>
                <c:pt idx="5">
                  <c:v>11</c:v>
                </c:pt>
                <c:pt idx="6">
                  <c:v>17</c:v>
                </c:pt>
                <c:pt idx="7">
                  <c:v>18</c:v>
                </c:pt>
                <c:pt idx="8">
                  <c:v>19</c:v>
                </c:pt>
                <c:pt idx="9">
                  <c:v>20</c:v>
                </c:pt>
              </c:strCache>
            </c:strRef>
          </c:cat>
          <c:val>
            <c:numRef>
              <c:f>Sheet3!$C$5:$C$15</c:f>
              <c:numCache>
                <c:formatCode>General</c:formatCode>
                <c:ptCount val="10"/>
                <c:pt idx="0">
                  <c:v>2196.9899999999998</c:v>
                </c:pt>
                <c:pt idx="5">
                  <c:v>3594.07</c:v>
                </c:pt>
                <c:pt idx="8">
                  <c:v>4562.0200000000004</c:v>
                </c:pt>
              </c:numCache>
            </c:numRef>
          </c:val>
        </c:ser>
        <c:ser>
          <c:idx val="2"/>
          <c:order val="2"/>
          <c:tx>
            <c:strRef>
              <c:f>Sheet3!$D$3:$D$4</c:f>
              <c:strCache>
                <c:ptCount val="1"/>
                <c:pt idx="0">
                  <c:v>Maharashtra</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5</c:v>
                </c:pt>
                <c:pt idx="1">
                  <c:v>6</c:v>
                </c:pt>
                <c:pt idx="2">
                  <c:v>7</c:v>
                </c:pt>
                <c:pt idx="3">
                  <c:v>9</c:v>
                </c:pt>
                <c:pt idx="4">
                  <c:v>10</c:v>
                </c:pt>
                <c:pt idx="5">
                  <c:v>11</c:v>
                </c:pt>
                <c:pt idx="6">
                  <c:v>17</c:v>
                </c:pt>
                <c:pt idx="7">
                  <c:v>18</c:v>
                </c:pt>
                <c:pt idx="8">
                  <c:v>19</c:v>
                </c:pt>
                <c:pt idx="9">
                  <c:v>20</c:v>
                </c:pt>
              </c:strCache>
            </c:strRef>
          </c:cat>
          <c:val>
            <c:numRef>
              <c:f>Sheet3!$D$5:$D$15</c:f>
              <c:numCache>
                <c:formatCode>General</c:formatCode>
                <c:ptCount val="10"/>
                <c:pt idx="1">
                  <c:v>8248.02</c:v>
                </c:pt>
                <c:pt idx="6">
                  <c:v>1240.77</c:v>
                </c:pt>
              </c:numCache>
            </c:numRef>
          </c:val>
        </c:ser>
        <c:ser>
          <c:idx val="3"/>
          <c:order val="3"/>
          <c:tx>
            <c:strRef>
              <c:f>Sheet3!$E$3:$E$4</c:f>
              <c:strCache>
                <c:ptCount val="1"/>
                <c:pt idx="0">
                  <c:v>Tamil Nadu</c:v>
                </c:pt>
              </c:strCache>
            </c:strRef>
          </c:tx>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5</c:v>
                </c:pt>
                <c:pt idx="1">
                  <c:v>6</c:v>
                </c:pt>
                <c:pt idx="2">
                  <c:v>7</c:v>
                </c:pt>
                <c:pt idx="3">
                  <c:v>9</c:v>
                </c:pt>
                <c:pt idx="4">
                  <c:v>10</c:v>
                </c:pt>
                <c:pt idx="5">
                  <c:v>11</c:v>
                </c:pt>
                <c:pt idx="6">
                  <c:v>17</c:v>
                </c:pt>
                <c:pt idx="7">
                  <c:v>18</c:v>
                </c:pt>
                <c:pt idx="8">
                  <c:v>19</c:v>
                </c:pt>
                <c:pt idx="9">
                  <c:v>20</c:v>
                </c:pt>
              </c:strCache>
            </c:strRef>
          </c:cat>
          <c:val>
            <c:numRef>
              <c:f>Sheet3!$E$5:$E$15</c:f>
              <c:numCache>
                <c:formatCode>General</c:formatCode>
                <c:ptCount val="10"/>
                <c:pt idx="2">
                  <c:v>4772.29</c:v>
                </c:pt>
                <c:pt idx="3">
                  <c:v>8288.85</c:v>
                </c:pt>
                <c:pt idx="4">
                  <c:v>2754.3</c:v>
                </c:pt>
                <c:pt idx="7">
                  <c:v>3128.59</c:v>
                </c:pt>
              </c:numCache>
            </c:numRef>
          </c:val>
        </c:ser>
        <c:ser>
          <c:idx val="4"/>
          <c:order val="4"/>
          <c:tx>
            <c:strRef>
              <c:f>Sheet3!$F$3:$F$4</c:f>
              <c:strCache>
                <c:ptCount val="1"/>
                <c:pt idx="0">
                  <c:v>(blank)</c:v>
                </c:pt>
              </c:strCache>
            </c:strRef>
          </c:tx>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Sheet3!$A$5:$A$15</c:f>
              <c:strCache>
                <c:ptCount val="10"/>
                <c:pt idx="0">
                  <c:v>5</c:v>
                </c:pt>
                <c:pt idx="1">
                  <c:v>6</c:v>
                </c:pt>
                <c:pt idx="2">
                  <c:v>7</c:v>
                </c:pt>
                <c:pt idx="3">
                  <c:v>9</c:v>
                </c:pt>
                <c:pt idx="4">
                  <c:v>10</c:v>
                </c:pt>
                <c:pt idx="5">
                  <c:v>11</c:v>
                </c:pt>
                <c:pt idx="6">
                  <c:v>17</c:v>
                </c:pt>
                <c:pt idx="7">
                  <c:v>18</c:v>
                </c:pt>
                <c:pt idx="8">
                  <c:v>19</c:v>
                </c:pt>
                <c:pt idx="9">
                  <c:v>20</c:v>
                </c:pt>
              </c:strCache>
            </c:strRef>
          </c:cat>
          <c:val>
            <c:numRef>
              <c:f>Sheet3!$F$5:$F$15</c:f>
              <c:numCache>
                <c:formatCode>General</c:formatCode>
                <c:ptCount val="10"/>
                <c:pt idx="2">
                  <c:v>1257.3399999999999</c:v>
                </c:pt>
              </c:numCache>
            </c:numRef>
          </c:val>
        </c:ser>
        <c:dLbls>
          <c:dLblPos val="outEnd"/>
          <c:showLegendKey val="0"/>
          <c:showVal val="1"/>
          <c:showCatName val="0"/>
          <c:showSerName val="0"/>
          <c:showPercent val="0"/>
          <c:showBubbleSize val="0"/>
        </c:dLbls>
        <c:gapWidth val="100"/>
        <c:overlap val="-24"/>
        <c:axId val="1932942608"/>
        <c:axId val="1932943152"/>
      </c:barChart>
      <c:catAx>
        <c:axId val="193294260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43152"/>
        <c:auto val="1"/>
        <c:lblAlgn val="ctr"/>
        <c:lblOffset val="100"/>
        <c:noMultiLvlLbl val="0"/>
      </c:catAx>
      <c:valAx>
        <c:axId val="1932943152"/>
        <c:scaling>
          <c:orientation val="minMax"/>
        </c:scaling>
        <c:delete val="0"/>
        <c:axPos val="l"/>
        <c:majorGridlines>
          <c:spPr>
            <a:ln w="9525" cap="sq" cmpd="sng" algn="ctr">
              <a:gradFill flip="none" rotWithShape="1">
                <a:gsLst>
                  <a:gs pos="77914">
                    <a:srgbClr val="7A9344"/>
                  </a:gs>
                  <a:gs pos="0">
                    <a:schemeClr val="accent3">
                      <a:lumMod val="40000"/>
                      <a:lumOff val="60000"/>
                    </a:schemeClr>
                  </a:gs>
                  <a:gs pos="46000">
                    <a:schemeClr val="accent3">
                      <a:lumMod val="95000"/>
                      <a:lumOff val="5000"/>
                    </a:schemeClr>
                  </a:gs>
                  <a:gs pos="100000">
                    <a:schemeClr val="accent3">
                      <a:lumMod val="60000"/>
                    </a:schemeClr>
                  </a:gs>
                </a:gsLst>
                <a:path path="circle">
                  <a:fillToRect l="50000" t="50000" r="50000" b="50000"/>
                </a:path>
                <a:tileRect/>
              </a:gradFill>
              <a:beve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2942608"/>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22860</xdr:colOff>
      <xdr:row>7</xdr:row>
      <xdr:rowOff>80010</xdr:rowOff>
    </xdr:from>
    <xdr:to>
      <xdr:col>11</xdr:col>
      <xdr:colOff>45720</xdr:colOff>
      <xdr:row>22</xdr:row>
      <xdr:rowOff>80010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68580</xdr:colOff>
      <xdr:row>0</xdr:row>
      <xdr:rowOff>91440</xdr:rowOff>
    </xdr:from>
    <xdr:to>
      <xdr:col>12</xdr:col>
      <xdr:colOff>266700</xdr:colOff>
      <xdr:row>13</xdr:row>
      <xdr:rowOff>180975</xdr:rowOff>
    </xdr:to>
    <mc:AlternateContent xmlns:mc="http://schemas.openxmlformats.org/markup-compatibility/2006">
      <mc:Choice xmlns:a14="http://schemas.microsoft.com/office/drawing/2010/main" Requires="a14">
        <xdr:graphicFrame macro="">
          <xdr:nvGraphicFramePr>
            <xdr:cNvPr id="2" name="name"/>
            <xdr:cNvGraphicFramePr/>
          </xdr:nvGraphicFramePr>
          <xdr:xfrm>
            <a:off x="0" y="0"/>
            <a:ext cx="0" cy="0"/>
          </xdr:xfrm>
          <a:graphic>
            <a:graphicData uri="http://schemas.microsoft.com/office/drawing/2010/slicer">
              <sle:slicer xmlns:sle="http://schemas.microsoft.com/office/drawing/2010/slicer" name="name"/>
            </a:graphicData>
          </a:graphic>
        </xdr:graphicFrame>
      </mc:Choice>
      <mc:Fallback>
        <xdr:sp macro="" textlink="">
          <xdr:nvSpPr>
            <xdr:cNvPr id="0" name=""/>
            <xdr:cNvSpPr>
              <a:spLocks noTextEdit="1"/>
            </xdr:cNvSpPr>
          </xdr:nvSpPr>
          <xdr:spPr>
            <a:xfrm>
              <a:off x="10104120" y="914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480060</xdr:colOff>
      <xdr:row>0</xdr:row>
      <xdr:rowOff>0</xdr:rowOff>
    </xdr:from>
    <xdr:to>
      <xdr:col>9</xdr:col>
      <xdr:colOff>213360</xdr:colOff>
      <xdr:row>13</xdr:row>
      <xdr:rowOff>89535</xdr:rowOff>
    </xdr:to>
    <mc:AlternateContent xmlns:mc="http://schemas.openxmlformats.org/markup-compatibility/2006">
      <mc:Choice xmlns:a14="http://schemas.microsoft.com/office/drawing/2010/main" Requires="a14">
        <xdr:graphicFrame macro="">
          <xdr:nvGraphicFramePr>
            <xdr:cNvPr id="3"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6324600" y="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259080</xdr:colOff>
      <xdr:row>0</xdr:row>
      <xdr:rowOff>68580</xdr:rowOff>
    </xdr:from>
    <xdr:to>
      <xdr:col>10</xdr:col>
      <xdr:colOff>784860</xdr:colOff>
      <xdr:row>13</xdr:row>
      <xdr:rowOff>158115</xdr:rowOff>
    </xdr:to>
    <mc:AlternateContent xmlns:mc="http://schemas.openxmlformats.org/markup-compatibility/2006">
      <mc:Choice xmlns:a14="http://schemas.microsoft.com/office/drawing/2010/main" Requires="a14">
        <xdr:graphicFrame macro="">
          <xdr:nvGraphicFramePr>
            <xdr:cNvPr id="4"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8199120" y="6858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22860</xdr:colOff>
      <xdr:row>15</xdr:row>
      <xdr:rowOff>83820</xdr:rowOff>
    </xdr:from>
    <xdr:to>
      <xdr:col>11</xdr:col>
      <xdr:colOff>259080</xdr:colOff>
      <xdr:row>29</xdr:row>
      <xdr:rowOff>144780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YASH" refreshedDate="46053.593812268518" createdVersion="5" refreshedVersion="5" minRefreshableVersion="3" recordCount="15">
  <cacheSource type="worksheet">
    <worksheetSource ref="A1:I16" sheet="Sheet2"/>
  </cacheSource>
  <cacheFields count="10">
    <cacheField name="Sr No." numFmtId="0">
      <sharedItems containsSemiMixedTypes="0" containsString="0" containsNumber="1" containsInteger="1" minValue="1" maxValue="15" count="15">
        <n v="1"/>
        <n v="2"/>
        <n v="3"/>
        <n v="4"/>
        <n v="5"/>
        <n v="6"/>
        <n v="7"/>
        <n v="8"/>
        <n v="9"/>
        <n v="10"/>
        <n v="11"/>
        <n v="12"/>
        <n v="13"/>
        <n v="14"/>
        <n v="15"/>
      </sharedItems>
    </cacheField>
    <cacheField name="name" numFmtId="0">
      <sharedItems count="9">
        <s v="Meera"/>
        <s v="Vihaan"/>
        <s v="Nishant"/>
        <s v="Aditi"/>
        <s v="Ishita"/>
        <s v="Aarav"/>
        <s v="Riya"/>
        <s v="Aryan"/>
        <s v="Ananya"/>
      </sharedItems>
    </cacheField>
    <cacheField name="State" numFmtId="0">
      <sharedItems containsBlank="1" count="5">
        <s v="Maharashtra"/>
        <s v="Tamil Nadu"/>
        <s v="Karnataka"/>
        <s v="Gujarat"/>
        <m/>
      </sharedItems>
    </cacheField>
    <cacheField name="Region" numFmtId="0">
      <sharedItems count="2">
        <s v="West"/>
        <s v="South"/>
      </sharedItems>
    </cacheField>
    <cacheField name="Product Category" numFmtId="0">
      <sharedItems/>
    </cacheField>
    <cacheField name="Product Name" numFmtId="0">
      <sharedItems count="9">
        <s v="Table"/>
        <s v="Ruler"/>
        <s v="Dress"/>
        <s v="Lentils"/>
        <s v="Eraser"/>
        <s v="Headphones"/>
        <s v="Laptop"/>
        <s v="Pants"/>
        <s v="Shirt"/>
      </sharedItems>
    </cacheField>
    <cacheField name="Quantity" numFmtId="0">
      <sharedItems containsSemiMixedTypes="0" containsString="0" containsNumber="1" containsInteger="1" minValue="5" maxValue="20" count="10">
        <n v="6"/>
        <n v="9"/>
        <n v="11"/>
        <n v="17"/>
        <n v="7"/>
        <n v="5"/>
        <n v="18"/>
        <n v="10"/>
        <n v="19"/>
        <n v="20"/>
      </sharedItems>
    </cacheField>
    <cacheField name="Price per Unit" numFmtId="0">
      <sharedItems containsSemiMixedTypes="0" containsString="0" containsNumber="1" minValue="967.6" maxValue="4896.3100000000004"/>
    </cacheField>
    <cacheField name="Sales Amount" numFmtId="0">
      <sharedItems containsSemiMixedTypes="0" containsString="0" containsNumber="1" minValue="4838" maxValue="93029.89"/>
    </cacheField>
    <cacheField name="NEW" numFmtId="0" formula="'Price per Unit' +Quantity" databaseField="0"/>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5">
  <r>
    <x v="0"/>
    <x v="0"/>
    <x v="0"/>
    <x v="0"/>
    <s v="Furniture"/>
    <x v="0"/>
    <x v="0"/>
    <n v="4016.25"/>
    <n v="24097.5"/>
  </r>
  <r>
    <x v="1"/>
    <x v="1"/>
    <x v="1"/>
    <x v="1"/>
    <s v="Stationery"/>
    <x v="1"/>
    <x v="1"/>
    <n v="3801.85"/>
    <n v="34216.65"/>
  </r>
  <r>
    <x v="2"/>
    <x v="2"/>
    <x v="2"/>
    <x v="1"/>
    <s v="Stationery"/>
    <x v="1"/>
    <x v="2"/>
    <n v="3594.07"/>
    <n v="39534.769999999997"/>
  </r>
  <r>
    <x v="3"/>
    <x v="1"/>
    <x v="1"/>
    <x v="1"/>
    <s v="Clothing"/>
    <x v="2"/>
    <x v="1"/>
    <n v="4487"/>
    <n v="40383"/>
  </r>
  <r>
    <x v="4"/>
    <x v="3"/>
    <x v="0"/>
    <x v="0"/>
    <s v="Groceries"/>
    <x v="3"/>
    <x v="3"/>
    <n v="1240.77"/>
    <n v="21093.09"/>
  </r>
  <r>
    <x v="5"/>
    <x v="4"/>
    <x v="1"/>
    <x v="1"/>
    <s v="Stationery"/>
    <x v="4"/>
    <x v="4"/>
    <n v="4772.29"/>
    <n v="33406.03"/>
  </r>
  <r>
    <x v="6"/>
    <x v="5"/>
    <x v="2"/>
    <x v="1"/>
    <s v="Electronics"/>
    <x v="5"/>
    <x v="5"/>
    <n v="2196.9899999999998"/>
    <n v="10984.95"/>
  </r>
  <r>
    <x v="7"/>
    <x v="6"/>
    <x v="3"/>
    <x v="0"/>
    <s v="Clothing"/>
    <x v="2"/>
    <x v="5"/>
    <n v="967.6"/>
    <n v="4838"/>
  </r>
  <r>
    <x v="8"/>
    <x v="1"/>
    <x v="1"/>
    <x v="1"/>
    <s v="Stationery"/>
    <x v="1"/>
    <x v="6"/>
    <n v="3128.59"/>
    <n v="56314.62"/>
  </r>
  <r>
    <x v="9"/>
    <x v="2"/>
    <x v="1"/>
    <x v="1"/>
    <s v="Furniture"/>
    <x v="0"/>
    <x v="7"/>
    <n v="2754.3"/>
    <n v="27543"/>
  </r>
  <r>
    <x v="10"/>
    <x v="1"/>
    <x v="3"/>
    <x v="0"/>
    <s v="Electronics"/>
    <x v="6"/>
    <x v="8"/>
    <n v="4896.3100000000004"/>
    <n v="93029.89"/>
  </r>
  <r>
    <x v="11"/>
    <x v="5"/>
    <x v="2"/>
    <x v="1"/>
    <s v="Clothing"/>
    <x v="7"/>
    <x v="8"/>
    <n v="4562.0200000000004"/>
    <n v="86678.38"/>
  </r>
  <r>
    <x v="12"/>
    <x v="4"/>
    <x v="0"/>
    <x v="0"/>
    <s v="Stationery"/>
    <x v="4"/>
    <x v="0"/>
    <n v="4231.7700000000004"/>
    <n v="25390.62"/>
  </r>
  <r>
    <x v="13"/>
    <x v="7"/>
    <x v="3"/>
    <x v="0"/>
    <s v="Clothing"/>
    <x v="8"/>
    <x v="9"/>
    <n v="1027.53"/>
    <n v="20550.599999999999"/>
  </r>
  <r>
    <x v="14"/>
    <x v="8"/>
    <x v="4"/>
    <x v="0"/>
    <s v="Clothing"/>
    <x v="7"/>
    <x v="4"/>
    <n v="1257.3399999999999"/>
    <n v="8801.379999999999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1" cacheId="10"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3">
  <location ref="A3:G15" firstHeaderRow="1" firstDataRow="2" firstDataCol="1"/>
  <pivotFields count="10">
    <pivotField showAll="0">
      <items count="16">
        <item x="0"/>
        <item x="1"/>
        <item x="2"/>
        <item x="3"/>
        <item x="4"/>
        <item x="5"/>
        <item x="6"/>
        <item x="7"/>
        <item x="8"/>
        <item x="9"/>
        <item x="10"/>
        <item x="11"/>
        <item x="12"/>
        <item x="13"/>
        <item x="14"/>
        <item t="default"/>
      </items>
    </pivotField>
    <pivotField showAll="0">
      <items count="10">
        <item x="5"/>
        <item x="3"/>
        <item x="8"/>
        <item x="7"/>
        <item x="4"/>
        <item x="0"/>
        <item x="2"/>
        <item x="6"/>
        <item x="1"/>
        <item t="default"/>
      </items>
    </pivotField>
    <pivotField axis="axisCol" showAll="0">
      <items count="6">
        <item x="3"/>
        <item x="2"/>
        <item x="0"/>
        <item x="1"/>
        <item x="4"/>
        <item t="default"/>
      </items>
    </pivotField>
    <pivotField showAll="0">
      <items count="3">
        <item x="1"/>
        <item x="0"/>
        <item t="default"/>
      </items>
    </pivotField>
    <pivotField showAll="0"/>
    <pivotField showAll="0">
      <items count="10">
        <item x="2"/>
        <item x="4"/>
        <item x="5"/>
        <item x="6"/>
        <item x="3"/>
        <item x="7"/>
        <item x="1"/>
        <item x="8"/>
        <item x="0"/>
        <item t="default"/>
      </items>
    </pivotField>
    <pivotField axis="axisRow" showAll="0">
      <items count="11">
        <item x="5"/>
        <item x="0"/>
        <item x="4"/>
        <item x="1"/>
        <item x="7"/>
        <item x="2"/>
        <item x="3"/>
        <item x="6"/>
        <item x="8"/>
        <item x="9"/>
        <item t="default"/>
      </items>
    </pivotField>
    <pivotField dataField="1" showAll="0"/>
    <pivotField showAll="0"/>
    <pivotField dragToRow="0" dragToCol="0" dragToPage="0" showAll="0" defaultSubtotal="0"/>
  </pivotFields>
  <rowFields count="1">
    <field x="6"/>
  </rowFields>
  <rowItems count="11">
    <i>
      <x/>
    </i>
    <i>
      <x v="1"/>
    </i>
    <i>
      <x v="2"/>
    </i>
    <i>
      <x v="3"/>
    </i>
    <i>
      <x v="4"/>
    </i>
    <i>
      <x v="5"/>
    </i>
    <i>
      <x v="6"/>
    </i>
    <i>
      <x v="7"/>
    </i>
    <i>
      <x v="8"/>
    </i>
    <i>
      <x v="9"/>
    </i>
    <i t="grand">
      <x/>
    </i>
  </rowItems>
  <colFields count="1">
    <field x="2"/>
  </colFields>
  <colItems count="6">
    <i>
      <x/>
    </i>
    <i>
      <x v="1"/>
    </i>
    <i>
      <x v="2"/>
    </i>
    <i>
      <x v="3"/>
    </i>
    <i>
      <x v="4"/>
    </i>
    <i t="grand">
      <x/>
    </i>
  </colItems>
  <dataFields count="1">
    <dataField name="Sum of Price per Unit" fld="7" baseField="0" baseItem="0"/>
  </dataFields>
  <chartFormats count="68">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2"/>
          </reference>
        </references>
      </pivotArea>
    </chartFormat>
    <chartFormat chart="1" format="3" series="1">
      <pivotArea type="data" outline="0" fieldPosition="0">
        <references count="2">
          <reference field="4294967294" count="1" selected="0">
            <x v="0"/>
          </reference>
          <reference field="2" count="1" selected="0">
            <x v="3"/>
          </reference>
        </references>
      </pivotArea>
    </chartFormat>
    <chartFormat chart="1" format="4" series="1">
      <pivotArea type="data" outline="0" fieldPosition="0">
        <references count="2">
          <reference field="4294967294" count="1" selected="0">
            <x v="0"/>
          </reference>
          <reference field="2" count="1" selected="0">
            <x v="4"/>
          </reference>
        </references>
      </pivotArea>
    </chartFormat>
    <chartFormat chart="1" format="5"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2" count="1" selected="0">
            <x v="0"/>
          </reference>
        </references>
      </pivotArea>
    </chartFormat>
    <chartFormat chart="11" format="1" series="1">
      <pivotArea type="data" outline="0" fieldPosition="0">
        <references count="2">
          <reference field="4294967294" count="1" selected="0">
            <x v="0"/>
          </reference>
          <reference field="2" count="1" selected="0">
            <x v="1"/>
          </reference>
        </references>
      </pivotArea>
    </chartFormat>
    <chartFormat chart="11" format="2" series="1">
      <pivotArea type="data" outline="0" fieldPosition="0">
        <references count="2">
          <reference field="4294967294" count="1" selected="0">
            <x v="0"/>
          </reference>
          <reference field="2" count="1" selected="0">
            <x v="2"/>
          </reference>
        </references>
      </pivotArea>
    </chartFormat>
    <chartFormat chart="11" format="3" series="1">
      <pivotArea type="data" outline="0" fieldPosition="0">
        <references count="2">
          <reference field="4294967294" count="1" selected="0">
            <x v="0"/>
          </reference>
          <reference field="2" count="1" selected="0">
            <x v="3"/>
          </reference>
        </references>
      </pivotArea>
    </chartFormat>
    <chartFormat chart="11" format="4" series="1">
      <pivotArea type="data" outline="0" fieldPosition="0">
        <references count="2">
          <reference field="4294967294" count="1" selected="0">
            <x v="0"/>
          </reference>
          <reference field="2" count="1" selected="0">
            <x v="4"/>
          </reference>
        </references>
      </pivotArea>
    </chartFormat>
    <chartFormat chart="12" format="5" series="1">
      <pivotArea type="data" outline="0" fieldPosition="0">
        <references count="2">
          <reference field="4294967294" count="1" selected="0">
            <x v="0"/>
          </reference>
          <reference field="2" count="1" selected="0">
            <x v="0"/>
          </reference>
        </references>
      </pivotArea>
    </chartFormat>
    <chartFormat chart="12" format="6">
      <pivotArea type="data" outline="0" fieldPosition="0">
        <references count="3">
          <reference field="4294967294" count="1" selected="0">
            <x v="0"/>
          </reference>
          <reference field="2" count="1" selected="0">
            <x v="0"/>
          </reference>
          <reference field="6" count="1" selected="0">
            <x v="0"/>
          </reference>
        </references>
      </pivotArea>
    </chartFormat>
    <chartFormat chart="12" format="7">
      <pivotArea type="data" outline="0" fieldPosition="0">
        <references count="3">
          <reference field="4294967294" count="1" selected="0">
            <x v="0"/>
          </reference>
          <reference field="2" count="1" selected="0">
            <x v="0"/>
          </reference>
          <reference field="6" count="1" selected="0">
            <x v="1"/>
          </reference>
        </references>
      </pivotArea>
    </chartFormat>
    <chartFormat chart="12" format="8">
      <pivotArea type="data" outline="0" fieldPosition="0">
        <references count="3">
          <reference field="4294967294" count="1" selected="0">
            <x v="0"/>
          </reference>
          <reference field="2" count="1" selected="0">
            <x v="0"/>
          </reference>
          <reference field="6" count="1" selected="0">
            <x v="2"/>
          </reference>
        </references>
      </pivotArea>
    </chartFormat>
    <chartFormat chart="12" format="9">
      <pivotArea type="data" outline="0" fieldPosition="0">
        <references count="3">
          <reference field="4294967294" count="1" selected="0">
            <x v="0"/>
          </reference>
          <reference field="2" count="1" selected="0">
            <x v="0"/>
          </reference>
          <reference field="6" count="1" selected="0">
            <x v="3"/>
          </reference>
        </references>
      </pivotArea>
    </chartFormat>
    <chartFormat chart="12" format="10">
      <pivotArea type="data" outline="0" fieldPosition="0">
        <references count="3">
          <reference field="4294967294" count="1" selected="0">
            <x v="0"/>
          </reference>
          <reference field="2" count="1" selected="0">
            <x v="0"/>
          </reference>
          <reference field="6" count="1" selected="0">
            <x v="4"/>
          </reference>
        </references>
      </pivotArea>
    </chartFormat>
    <chartFormat chart="12" format="11">
      <pivotArea type="data" outline="0" fieldPosition="0">
        <references count="3">
          <reference field="4294967294" count="1" selected="0">
            <x v="0"/>
          </reference>
          <reference field="2" count="1" selected="0">
            <x v="0"/>
          </reference>
          <reference field="6" count="1" selected="0">
            <x v="5"/>
          </reference>
        </references>
      </pivotArea>
    </chartFormat>
    <chartFormat chart="12" format="12">
      <pivotArea type="data" outline="0" fieldPosition="0">
        <references count="3">
          <reference field="4294967294" count="1" selected="0">
            <x v="0"/>
          </reference>
          <reference field="2" count="1" selected="0">
            <x v="0"/>
          </reference>
          <reference field="6" count="1" selected="0">
            <x v="6"/>
          </reference>
        </references>
      </pivotArea>
    </chartFormat>
    <chartFormat chart="12" format="13">
      <pivotArea type="data" outline="0" fieldPosition="0">
        <references count="3">
          <reference field="4294967294" count="1" selected="0">
            <x v="0"/>
          </reference>
          <reference field="2" count="1" selected="0">
            <x v="0"/>
          </reference>
          <reference field="6" count="1" selected="0">
            <x v="7"/>
          </reference>
        </references>
      </pivotArea>
    </chartFormat>
    <chartFormat chart="12" format="14">
      <pivotArea type="data" outline="0" fieldPosition="0">
        <references count="3">
          <reference field="4294967294" count="1" selected="0">
            <x v="0"/>
          </reference>
          <reference field="2" count="1" selected="0">
            <x v="0"/>
          </reference>
          <reference field="6" count="1" selected="0">
            <x v="8"/>
          </reference>
        </references>
      </pivotArea>
    </chartFormat>
    <chartFormat chart="12" format="15">
      <pivotArea type="data" outline="0" fieldPosition="0">
        <references count="3">
          <reference field="4294967294" count="1" selected="0">
            <x v="0"/>
          </reference>
          <reference field="2" count="1" selected="0">
            <x v="0"/>
          </reference>
          <reference field="6" count="1" selected="0">
            <x v="9"/>
          </reference>
        </references>
      </pivotArea>
    </chartFormat>
    <chartFormat chart="12" format="16" series="1">
      <pivotArea type="data" outline="0" fieldPosition="0">
        <references count="2">
          <reference field="4294967294" count="1" selected="0">
            <x v="0"/>
          </reference>
          <reference field="2" count="1" selected="0">
            <x v="1"/>
          </reference>
        </references>
      </pivotArea>
    </chartFormat>
    <chartFormat chart="12" format="17">
      <pivotArea type="data" outline="0" fieldPosition="0">
        <references count="3">
          <reference field="4294967294" count="1" selected="0">
            <x v="0"/>
          </reference>
          <reference field="2" count="1" selected="0">
            <x v="1"/>
          </reference>
          <reference field="6" count="1" selected="0">
            <x v="0"/>
          </reference>
        </references>
      </pivotArea>
    </chartFormat>
    <chartFormat chart="12" format="18">
      <pivotArea type="data" outline="0" fieldPosition="0">
        <references count="3">
          <reference field="4294967294" count="1" selected="0">
            <x v="0"/>
          </reference>
          <reference field="2" count="1" selected="0">
            <x v="1"/>
          </reference>
          <reference field="6" count="1" selected="0">
            <x v="1"/>
          </reference>
        </references>
      </pivotArea>
    </chartFormat>
    <chartFormat chart="12" format="19">
      <pivotArea type="data" outline="0" fieldPosition="0">
        <references count="3">
          <reference field="4294967294" count="1" selected="0">
            <x v="0"/>
          </reference>
          <reference field="2" count="1" selected="0">
            <x v="1"/>
          </reference>
          <reference field="6" count="1" selected="0">
            <x v="2"/>
          </reference>
        </references>
      </pivotArea>
    </chartFormat>
    <chartFormat chart="12" format="20">
      <pivotArea type="data" outline="0" fieldPosition="0">
        <references count="3">
          <reference field="4294967294" count="1" selected="0">
            <x v="0"/>
          </reference>
          <reference field="2" count="1" selected="0">
            <x v="1"/>
          </reference>
          <reference field="6" count="1" selected="0">
            <x v="3"/>
          </reference>
        </references>
      </pivotArea>
    </chartFormat>
    <chartFormat chart="12" format="21">
      <pivotArea type="data" outline="0" fieldPosition="0">
        <references count="3">
          <reference field="4294967294" count="1" selected="0">
            <x v="0"/>
          </reference>
          <reference field="2" count="1" selected="0">
            <x v="1"/>
          </reference>
          <reference field="6" count="1" selected="0">
            <x v="4"/>
          </reference>
        </references>
      </pivotArea>
    </chartFormat>
    <chartFormat chart="12" format="22">
      <pivotArea type="data" outline="0" fieldPosition="0">
        <references count="3">
          <reference field="4294967294" count="1" selected="0">
            <x v="0"/>
          </reference>
          <reference field="2" count="1" selected="0">
            <x v="1"/>
          </reference>
          <reference field="6" count="1" selected="0">
            <x v="5"/>
          </reference>
        </references>
      </pivotArea>
    </chartFormat>
    <chartFormat chart="12" format="23">
      <pivotArea type="data" outline="0" fieldPosition="0">
        <references count="3">
          <reference field="4294967294" count="1" selected="0">
            <x v="0"/>
          </reference>
          <reference field="2" count="1" selected="0">
            <x v="1"/>
          </reference>
          <reference field="6" count="1" selected="0">
            <x v="6"/>
          </reference>
        </references>
      </pivotArea>
    </chartFormat>
    <chartFormat chart="12" format="24">
      <pivotArea type="data" outline="0" fieldPosition="0">
        <references count="3">
          <reference field="4294967294" count="1" selected="0">
            <x v="0"/>
          </reference>
          <reference field="2" count="1" selected="0">
            <x v="1"/>
          </reference>
          <reference field="6" count="1" selected="0">
            <x v="7"/>
          </reference>
        </references>
      </pivotArea>
    </chartFormat>
    <chartFormat chart="12" format="25">
      <pivotArea type="data" outline="0" fieldPosition="0">
        <references count="3">
          <reference field="4294967294" count="1" selected="0">
            <x v="0"/>
          </reference>
          <reference field="2" count="1" selected="0">
            <x v="1"/>
          </reference>
          <reference field="6" count="1" selected="0">
            <x v="8"/>
          </reference>
        </references>
      </pivotArea>
    </chartFormat>
    <chartFormat chart="12" format="26">
      <pivotArea type="data" outline="0" fieldPosition="0">
        <references count="3">
          <reference field="4294967294" count="1" selected="0">
            <x v="0"/>
          </reference>
          <reference field="2" count="1" selected="0">
            <x v="1"/>
          </reference>
          <reference field="6" count="1" selected="0">
            <x v="9"/>
          </reference>
        </references>
      </pivotArea>
    </chartFormat>
    <chartFormat chart="12" format="27" series="1">
      <pivotArea type="data" outline="0" fieldPosition="0">
        <references count="2">
          <reference field="4294967294" count="1" selected="0">
            <x v="0"/>
          </reference>
          <reference field="2" count="1" selected="0">
            <x v="2"/>
          </reference>
        </references>
      </pivotArea>
    </chartFormat>
    <chartFormat chart="12" format="28">
      <pivotArea type="data" outline="0" fieldPosition="0">
        <references count="3">
          <reference field="4294967294" count="1" selected="0">
            <x v="0"/>
          </reference>
          <reference field="2" count="1" selected="0">
            <x v="2"/>
          </reference>
          <reference field="6" count="1" selected="0">
            <x v="0"/>
          </reference>
        </references>
      </pivotArea>
    </chartFormat>
    <chartFormat chart="12" format="29">
      <pivotArea type="data" outline="0" fieldPosition="0">
        <references count="3">
          <reference field="4294967294" count="1" selected="0">
            <x v="0"/>
          </reference>
          <reference field="2" count="1" selected="0">
            <x v="2"/>
          </reference>
          <reference field="6" count="1" selected="0">
            <x v="1"/>
          </reference>
        </references>
      </pivotArea>
    </chartFormat>
    <chartFormat chart="12" format="30">
      <pivotArea type="data" outline="0" fieldPosition="0">
        <references count="3">
          <reference field="4294967294" count="1" selected="0">
            <x v="0"/>
          </reference>
          <reference field="2" count="1" selected="0">
            <x v="2"/>
          </reference>
          <reference field="6" count="1" selected="0">
            <x v="2"/>
          </reference>
        </references>
      </pivotArea>
    </chartFormat>
    <chartFormat chart="12" format="31">
      <pivotArea type="data" outline="0" fieldPosition="0">
        <references count="3">
          <reference field="4294967294" count="1" selected="0">
            <x v="0"/>
          </reference>
          <reference field="2" count="1" selected="0">
            <x v="2"/>
          </reference>
          <reference field="6" count="1" selected="0">
            <x v="3"/>
          </reference>
        </references>
      </pivotArea>
    </chartFormat>
    <chartFormat chart="12" format="32">
      <pivotArea type="data" outline="0" fieldPosition="0">
        <references count="3">
          <reference field="4294967294" count="1" selected="0">
            <x v="0"/>
          </reference>
          <reference field="2" count="1" selected="0">
            <x v="2"/>
          </reference>
          <reference field="6" count="1" selected="0">
            <x v="4"/>
          </reference>
        </references>
      </pivotArea>
    </chartFormat>
    <chartFormat chart="12" format="33">
      <pivotArea type="data" outline="0" fieldPosition="0">
        <references count="3">
          <reference field="4294967294" count="1" selected="0">
            <x v="0"/>
          </reference>
          <reference field="2" count="1" selected="0">
            <x v="2"/>
          </reference>
          <reference field="6" count="1" selected="0">
            <x v="5"/>
          </reference>
        </references>
      </pivotArea>
    </chartFormat>
    <chartFormat chart="12" format="34">
      <pivotArea type="data" outline="0" fieldPosition="0">
        <references count="3">
          <reference field="4294967294" count="1" selected="0">
            <x v="0"/>
          </reference>
          <reference field="2" count="1" selected="0">
            <x v="2"/>
          </reference>
          <reference field="6" count="1" selected="0">
            <x v="6"/>
          </reference>
        </references>
      </pivotArea>
    </chartFormat>
    <chartFormat chart="12" format="35">
      <pivotArea type="data" outline="0" fieldPosition="0">
        <references count="3">
          <reference field="4294967294" count="1" selected="0">
            <x v="0"/>
          </reference>
          <reference field="2" count="1" selected="0">
            <x v="2"/>
          </reference>
          <reference field="6" count="1" selected="0">
            <x v="7"/>
          </reference>
        </references>
      </pivotArea>
    </chartFormat>
    <chartFormat chart="12" format="36">
      <pivotArea type="data" outline="0" fieldPosition="0">
        <references count="3">
          <reference field="4294967294" count="1" selected="0">
            <x v="0"/>
          </reference>
          <reference field="2" count="1" selected="0">
            <x v="2"/>
          </reference>
          <reference field="6" count="1" selected="0">
            <x v="8"/>
          </reference>
        </references>
      </pivotArea>
    </chartFormat>
    <chartFormat chart="12" format="37">
      <pivotArea type="data" outline="0" fieldPosition="0">
        <references count="3">
          <reference field="4294967294" count="1" selected="0">
            <x v="0"/>
          </reference>
          <reference field="2" count="1" selected="0">
            <x v="2"/>
          </reference>
          <reference field="6" count="1" selected="0">
            <x v="9"/>
          </reference>
        </references>
      </pivotArea>
    </chartFormat>
    <chartFormat chart="12" format="38" series="1">
      <pivotArea type="data" outline="0" fieldPosition="0">
        <references count="2">
          <reference field="4294967294" count="1" selected="0">
            <x v="0"/>
          </reference>
          <reference field="2" count="1" selected="0">
            <x v="3"/>
          </reference>
        </references>
      </pivotArea>
    </chartFormat>
    <chartFormat chart="12" format="39">
      <pivotArea type="data" outline="0" fieldPosition="0">
        <references count="3">
          <reference field="4294967294" count="1" selected="0">
            <x v="0"/>
          </reference>
          <reference field="2" count="1" selected="0">
            <x v="3"/>
          </reference>
          <reference field="6" count="1" selected="0">
            <x v="0"/>
          </reference>
        </references>
      </pivotArea>
    </chartFormat>
    <chartFormat chart="12" format="40">
      <pivotArea type="data" outline="0" fieldPosition="0">
        <references count="3">
          <reference field="4294967294" count="1" selected="0">
            <x v="0"/>
          </reference>
          <reference field="2" count="1" selected="0">
            <x v="3"/>
          </reference>
          <reference field="6" count="1" selected="0">
            <x v="1"/>
          </reference>
        </references>
      </pivotArea>
    </chartFormat>
    <chartFormat chart="12" format="41">
      <pivotArea type="data" outline="0" fieldPosition="0">
        <references count="3">
          <reference field="4294967294" count="1" selected="0">
            <x v="0"/>
          </reference>
          <reference field="2" count="1" selected="0">
            <x v="3"/>
          </reference>
          <reference field="6" count="1" selected="0">
            <x v="2"/>
          </reference>
        </references>
      </pivotArea>
    </chartFormat>
    <chartFormat chart="12" format="42">
      <pivotArea type="data" outline="0" fieldPosition="0">
        <references count="3">
          <reference field="4294967294" count="1" selected="0">
            <x v="0"/>
          </reference>
          <reference field="2" count="1" selected="0">
            <x v="3"/>
          </reference>
          <reference field="6" count="1" selected="0">
            <x v="3"/>
          </reference>
        </references>
      </pivotArea>
    </chartFormat>
    <chartFormat chart="12" format="43">
      <pivotArea type="data" outline="0" fieldPosition="0">
        <references count="3">
          <reference field="4294967294" count="1" selected="0">
            <x v="0"/>
          </reference>
          <reference field="2" count="1" selected="0">
            <x v="3"/>
          </reference>
          <reference field="6" count="1" selected="0">
            <x v="4"/>
          </reference>
        </references>
      </pivotArea>
    </chartFormat>
    <chartFormat chart="12" format="44">
      <pivotArea type="data" outline="0" fieldPosition="0">
        <references count="3">
          <reference field="4294967294" count="1" selected="0">
            <x v="0"/>
          </reference>
          <reference field="2" count="1" selected="0">
            <x v="3"/>
          </reference>
          <reference field="6" count="1" selected="0">
            <x v="5"/>
          </reference>
        </references>
      </pivotArea>
    </chartFormat>
    <chartFormat chart="12" format="45">
      <pivotArea type="data" outline="0" fieldPosition="0">
        <references count="3">
          <reference field="4294967294" count="1" selected="0">
            <x v="0"/>
          </reference>
          <reference field="2" count="1" selected="0">
            <x v="3"/>
          </reference>
          <reference field="6" count="1" selected="0">
            <x v="6"/>
          </reference>
        </references>
      </pivotArea>
    </chartFormat>
    <chartFormat chart="12" format="46">
      <pivotArea type="data" outline="0" fieldPosition="0">
        <references count="3">
          <reference field="4294967294" count="1" selected="0">
            <x v="0"/>
          </reference>
          <reference field="2" count="1" selected="0">
            <x v="3"/>
          </reference>
          <reference field="6" count="1" selected="0">
            <x v="7"/>
          </reference>
        </references>
      </pivotArea>
    </chartFormat>
    <chartFormat chart="12" format="47">
      <pivotArea type="data" outline="0" fieldPosition="0">
        <references count="3">
          <reference field="4294967294" count="1" selected="0">
            <x v="0"/>
          </reference>
          <reference field="2" count="1" selected="0">
            <x v="3"/>
          </reference>
          <reference field="6" count="1" selected="0">
            <x v="8"/>
          </reference>
        </references>
      </pivotArea>
    </chartFormat>
    <chartFormat chart="12" format="48">
      <pivotArea type="data" outline="0" fieldPosition="0">
        <references count="3">
          <reference field="4294967294" count="1" selected="0">
            <x v="0"/>
          </reference>
          <reference field="2" count="1" selected="0">
            <x v="3"/>
          </reference>
          <reference field="6" count="1" selected="0">
            <x v="9"/>
          </reference>
        </references>
      </pivotArea>
    </chartFormat>
    <chartFormat chart="12" format="49" series="1">
      <pivotArea type="data" outline="0" fieldPosition="0">
        <references count="2">
          <reference field="4294967294" count="1" selected="0">
            <x v="0"/>
          </reference>
          <reference field="2" count="1" selected="0">
            <x v="4"/>
          </reference>
        </references>
      </pivotArea>
    </chartFormat>
    <chartFormat chart="12" format="50">
      <pivotArea type="data" outline="0" fieldPosition="0">
        <references count="3">
          <reference field="4294967294" count="1" selected="0">
            <x v="0"/>
          </reference>
          <reference field="2" count="1" selected="0">
            <x v="4"/>
          </reference>
          <reference field="6" count="1" selected="0">
            <x v="0"/>
          </reference>
        </references>
      </pivotArea>
    </chartFormat>
    <chartFormat chart="12" format="51">
      <pivotArea type="data" outline="0" fieldPosition="0">
        <references count="3">
          <reference field="4294967294" count="1" selected="0">
            <x v="0"/>
          </reference>
          <reference field="2" count="1" selected="0">
            <x v="4"/>
          </reference>
          <reference field="6" count="1" selected="0">
            <x v="1"/>
          </reference>
        </references>
      </pivotArea>
    </chartFormat>
    <chartFormat chart="12" format="52">
      <pivotArea type="data" outline="0" fieldPosition="0">
        <references count="3">
          <reference field="4294967294" count="1" selected="0">
            <x v="0"/>
          </reference>
          <reference field="2" count="1" selected="0">
            <x v="4"/>
          </reference>
          <reference field="6" count="1" selected="0">
            <x v="2"/>
          </reference>
        </references>
      </pivotArea>
    </chartFormat>
    <chartFormat chart="12" format="53">
      <pivotArea type="data" outline="0" fieldPosition="0">
        <references count="3">
          <reference field="4294967294" count="1" selected="0">
            <x v="0"/>
          </reference>
          <reference field="2" count="1" selected="0">
            <x v="4"/>
          </reference>
          <reference field="6" count="1" selected="0">
            <x v="3"/>
          </reference>
        </references>
      </pivotArea>
    </chartFormat>
    <chartFormat chart="12" format="54">
      <pivotArea type="data" outline="0" fieldPosition="0">
        <references count="3">
          <reference field="4294967294" count="1" selected="0">
            <x v="0"/>
          </reference>
          <reference field="2" count="1" selected="0">
            <x v="4"/>
          </reference>
          <reference field="6" count="1" selected="0">
            <x v="4"/>
          </reference>
        </references>
      </pivotArea>
    </chartFormat>
    <chartFormat chart="12" format="55">
      <pivotArea type="data" outline="0" fieldPosition="0">
        <references count="3">
          <reference field="4294967294" count="1" selected="0">
            <x v="0"/>
          </reference>
          <reference field="2" count="1" selected="0">
            <x v="4"/>
          </reference>
          <reference field="6" count="1" selected="0">
            <x v="5"/>
          </reference>
        </references>
      </pivotArea>
    </chartFormat>
    <chartFormat chart="12" format="56">
      <pivotArea type="data" outline="0" fieldPosition="0">
        <references count="3">
          <reference field="4294967294" count="1" selected="0">
            <x v="0"/>
          </reference>
          <reference field="2" count="1" selected="0">
            <x v="4"/>
          </reference>
          <reference field="6" count="1" selected="0">
            <x v="6"/>
          </reference>
        </references>
      </pivotArea>
    </chartFormat>
    <chartFormat chart="12" format="57">
      <pivotArea type="data" outline="0" fieldPosition="0">
        <references count="3">
          <reference field="4294967294" count="1" selected="0">
            <x v="0"/>
          </reference>
          <reference field="2" count="1" selected="0">
            <x v="4"/>
          </reference>
          <reference field="6" count="1" selected="0">
            <x v="7"/>
          </reference>
        </references>
      </pivotArea>
    </chartFormat>
    <chartFormat chart="12" format="58">
      <pivotArea type="data" outline="0" fieldPosition="0">
        <references count="3">
          <reference field="4294967294" count="1" selected="0">
            <x v="0"/>
          </reference>
          <reference field="2" count="1" selected="0">
            <x v="4"/>
          </reference>
          <reference field="6" count="1" selected="0">
            <x v="8"/>
          </reference>
        </references>
      </pivotArea>
    </chartFormat>
    <chartFormat chart="12" format="59">
      <pivotArea type="data" outline="0" fieldPosition="0">
        <references count="3">
          <reference field="4294967294" count="1" selected="0">
            <x v="0"/>
          </reference>
          <reference field="2" count="1" selected="0">
            <x v="4"/>
          </reference>
          <reference field="6" count="1" selected="0">
            <x v="9"/>
          </reference>
        </references>
      </pivotArea>
    </chartFormat>
    <chartFormat chart="12" format="60"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name" sourceName="name">
  <pivotTables>
    <pivotTable tabId="5" name="PivotTable1"/>
  </pivotTables>
  <data>
    <tabular pivotCacheId="1">
      <items count="9">
        <i x="5" s="1"/>
        <i x="3" s="1"/>
        <i x="8" s="1"/>
        <i x="7" s="1"/>
        <i x="4" s="1"/>
        <i x="0" s="1"/>
        <i x="2"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5" name="PivotTable1"/>
  </pivotTables>
  <data>
    <tabular pivotCacheId="1">
      <items count="5">
        <i x="3" s="1"/>
        <i x="2" s="1"/>
        <i x="0" s="1"/>
        <i x="1"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5" name="PivotTable1"/>
  </pivotTables>
  <data>
    <tabular pivotCacheId="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name" cache="Slicer_name" caption="name" rowHeight="234950"/>
  <slicer name="State" cache="Slicer_State" caption="State" rowHeight="234950"/>
  <slicer name="Region" cache="Slicer_Region" caption="Region" rowHeight="234950"/>
</slicers>
</file>

<file path=xl/tables/table1.xml><?xml version="1.0" encoding="utf-8"?>
<table xmlns="http://schemas.openxmlformats.org/spreadsheetml/2006/main" id="2" name="Table2" displayName="Table2" ref="B9:C15" totalsRowShown="0">
  <autoFilter ref="B9:C15"/>
  <tableColumns count="2">
    <tableColumn id="1" name="Email"/>
    <tableColumn id="2" name="Column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5"/>
  <sheetViews>
    <sheetView zoomScaleNormal="100" workbookViewId="0">
      <selection activeCell="D25" sqref="D25"/>
    </sheetView>
  </sheetViews>
  <sheetFormatPr defaultRowHeight="14.4" x14ac:dyDescent="0.3"/>
  <cols>
    <col min="2" max="2" width="17.77734375" bestFit="1" customWidth="1"/>
    <col min="3" max="3" width="11.109375" bestFit="1" customWidth="1"/>
    <col min="4" max="4" width="18.109375" bestFit="1" customWidth="1"/>
    <col min="8" max="9" width="18.109375" bestFit="1" customWidth="1"/>
    <col min="10" max="10" width="14.88671875" hidden="1" customWidth="1"/>
    <col min="12" max="13" width="14.33203125" bestFit="1" customWidth="1"/>
    <col min="14" max="15" width="11.6640625" bestFit="1" customWidth="1"/>
    <col min="16" max="16" width="12" bestFit="1" customWidth="1"/>
    <col min="17" max="17" width="10.44140625" bestFit="1" customWidth="1"/>
    <col min="19" max="19" width="12.5546875" bestFit="1" customWidth="1"/>
  </cols>
  <sheetData>
    <row r="1" spans="1:19" x14ac:dyDescent="0.3">
      <c r="A1" s="1" t="s">
        <v>0</v>
      </c>
      <c r="B1" s="1" t="s">
        <v>1</v>
      </c>
      <c r="C1" s="1" t="s">
        <v>2</v>
      </c>
      <c r="D1" s="1" t="s">
        <v>3</v>
      </c>
      <c r="E1" s="1" t="s">
        <v>4</v>
      </c>
      <c r="F1" s="1" t="s">
        <v>5</v>
      </c>
      <c r="G1" s="1" t="s">
        <v>6</v>
      </c>
      <c r="H1" s="1" t="s">
        <v>7</v>
      </c>
      <c r="I1" s="1" t="s">
        <v>8</v>
      </c>
      <c r="J1" s="1" t="s">
        <v>9</v>
      </c>
      <c r="L1" s="4" t="s">
        <v>23</v>
      </c>
      <c r="M1" s="5" t="s">
        <v>24</v>
      </c>
      <c r="N1" s="6" t="s">
        <v>25</v>
      </c>
      <c r="O1" s="6" t="s">
        <v>26</v>
      </c>
      <c r="P1" s="6" t="s">
        <v>27</v>
      </c>
      <c r="Q1" s="6" t="s">
        <v>28</v>
      </c>
      <c r="R1" s="7" t="s">
        <v>29</v>
      </c>
      <c r="S1" s="7" t="s">
        <v>37</v>
      </c>
    </row>
    <row r="2" spans="1:19" x14ac:dyDescent="0.3">
      <c r="A2" t="s">
        <v>20</v>
      </c>
      <c r="B2" t="s">
        <v>12</v>
      </c>
      <c r="C2" t="s">
        <v>17</v>
      </c>
      <c r="D2" s="2">
        <v>44691</v>
      </c>
      <c r="E2">
        <v>5</v>
      </c>
      <c r="F2">
        <v>50000</v>
      </c>
      <c r="G2">
        <v>0.1</v>
      </c>
      <c r="H2" s="2">
        <v>45444</v>
      </c>
      <c r="I2" s="2">
        <v>45458</v>
      </c>
      <c r="L2" t="str">
        <f>TRIM(A2)</f>
        <v>John Doe</v>
      </c>
      <c r="M2" s="3" t="str">
        <f t="shared" ref="M2:M7" si="0">UPPER(L2)</f>
        <v>JOHN DOE</v>
      </c>
      <c r="N2" t="str">
        <f>LOWER(M2)</f>
        <v>john doe</v>
      </c>
      <c r="O2" t="str">
        <f>PROPER(L2)</f>
        <v>John Doe</v>
      </c>
      <c r="P2" t="str">
        <f>RIGHT(B2,11)</f>
        <v>example.com</v>
      </c>
      <c r="Q2" t="str">
        <f>LEFT(B2,3)</f>
        <v>joh</v>
      </c>
      <c r="R2" t="str">
        <f>MID(B2,6,7)</f>
        <v>example</v>
      </c>
      <c r="S2" t="str">
        <f>CONCATENATE(Q2," ",R2)</f>
        <v>joh example</v>
      </c>
    </row>
    <row r="3" spans="1:19" x14ac:dyDescent="0.3">
      <c r="A3" t="s">
        <v>21</v>
      </c>
      <c r="B3" t="s">
        <v>13</v>
      </c>
      <c r="C3" t="s">
        <v>18</v>
      </c>
      <c r="D3" s="2">
        <v>44941</v>
      </c>
      <c r="E3">
        <v>12</v>
      </c>
      <c r="F3">
        <v>60000</v>
      </c>
      <c r="G3">
        <v>0.15</v>
      </c>
      <c r="H3" s="2">
        <v>45444</v>
      </c>
      <c r="I3" s="2">
        <v>45461</v>
      </c>
      <c r="L3" t="str">
        <f t="shared" ref="L3:L7" si="1">TRIM(A3)</f>
        <v>jane smith</v>
      </c>
      <c r="M3" s="3" t="str">
        <f t="shared" si="0"/>
        <v>JANE SMITH</v>
      </c>
      <c r="N3" t="str">
        <f t="shared" ref="N3:N7" si="2">LOWER(M3)</f>
        <v>jane smith</v>
      </c>
      <c r="O3" t="str">
        <f t="shared" ref="O3:O7" si="3">PROPER(L3)</f>
        <v>Jane Smith</v>
      </c>
      <c r="P3" t="str">
        <f t="shared" ref="P3:P7" si="4">RIGHT(B3,11)</f>
        <v>example.com</v>
      </c>
      <c r="Q3" t="str">
        <f t="shared" ref="Q3:Q7" si="5">LEFT(B3,3)</f>
        <v>jan</v>
      </c>
      <c r="R3" t="str">
        <f t="shared" ref="R3:R7" si="6">MID(B3,6,7)</f>
        <v>example</v>
      </c>
      <c r="S3" t="str">
        <f t="shared" ref="S3:S7" si="7">CONCATENATE(Q3," ",R3)</f>
        <v>jan example</v>
      </c>
    </row>
    <row r="4" spans="1:19" x14ac:dyDescent="0.3">
      <c r="A4" t="s">
        <v>22</v>
      </c>
      <c r="B4" t="s">
        <v>14</v>
      </c>
      <c r="C4" t="s">
        <v>17</v>
      </c>
      <c r="D4" s="2">
        <v>44378</v>
      </c>
      <c r="E4">
        <v>0</v>
      </c>
      <c r="F4">
        <v>55000</v>
      </c>
      <c r="G4">
        <v>0.1</v>
      </c>
      <c r="H4" s="2">
        <v>45444</v>
      </c>
      <c r="I4" s="2">
        <v>45463</v>
      </c>
      <c r="L4" t="str">
        <f t="shared" si="1"/>
        <v>ALICE JOHNSON</v>
      </c>
      <c r="M4" s="3" t="str">
        <f t="shared" si="0"/>
        <v>ALICE JOHNSON</v>
      </c>
      <c r="N4" t="str">
        <f t="shared" si="2"/>
        <v>alice johnson</v>
      </c>
      <c r="O4" t="str">
        <f t="shared" si="3"/>
        <v>Alice Johnson</v>
      </c>
      <c r="P4" t="str">
        <f t="shared" si="4"/>
        <v>example.com</v>
      </c>
      <c r="Q4" t="str">
        <f t="shared" si="5"/>
        <v>ali</v>
      </c>
      <c r="R4" t="str">
        <f t="shared" si="6"/>
        <v>@exampl</v>
      </c>
      <c r="S4" t="str">
        <f t="shared" si="7"/>
        <v>ali @exampl</v>
      </c>
    </row>
    <row r="5" spans="1:19" x14ac:dyDescent="0.3">
      <c r="A5" t="s">
        <v>10</v>
      </c>
      <c r="B5" t="s">
        <v>15</v>
      </c>
      <c r="C5" t="s">
        <v>19</v>
      </c>
      <c r="D5" s="2">
        <v>45219</v>
      </c>
      <c r="E5">
        <v>8</v>
      </c>
      <c r="F5">
        <v>45000</v>
      </c>
      <c r="G5">
        <v>0.05</v>
      </c>
      <c r="H5" s="2">
        <v>45444</v>
      </c>
      <c r="I5" s="2">
        <v>45468</v>
      </c>
      <c r="L5" t="str">
        <f t="shared" si="1"/>
        <v>bob Brown</v>
      </c>
      <c r="M5" s="3" t="str">
        <f t="shared" si="0"/>
        <v>BOB BROWN</v>
      </c>
      <c r="N5" t="str">
        <f t="shared" si="2"/>
        <v>bob brown</v>
      </c>
      <c r="O5" t="str">
        <f t="shared" si="3"/>
        <v>Bob Brown</v>
      </c>
      <c r="P5" t="str">
        <f t="shared" si="4"/>
        <v>example.com</v>
      </c>
      <c r="Q5" t="str">
        <f t="shared" si="5"/>
        <v>bob</v>
      </c>
      <c r="R5" t="str">
        <f t="shared" si="6"/>
        <v>xample.</v>
      </c>
      <c r="S5" t="str">
        <f t="shared" si="7"/>
        <v>bob xample.</v>
      </c>
    </row>
    <row r="6" spans="1:19" x14ac:dyDescent="0.3">
      <c r="A6" t="s">
        <v>11</v>
      </c>
      <c r="B6" t="s">
        <v>16</v>
      </c>
      <c r="C6" t="s">
        <v>18</v>
      </c>
      <c r="D6" s="2">
        <v>43895</v>
      </c>
      <c r="E6">
        <v>2</v>
      </c>
      <c r="F6">
        <v>70000</v>
      </c>
      <c r="G6">
        <v>0.2</v>
      </c>
      <c r="H6" s="2">
        <v>45444</v>
      </c>
      <c r="I6" s="2">
        <v>45473</v>
      </c>
      <c r="L6" t="str">
        <f t="shared" si="1"/>
        <v>Eva White</v>
      </c>
      <c r="M6" s="3" t="str">
        <f t="shared" si="0"/>
        <v>EVA WHITE</v>
      </c>
      <c r="N6" t="str">
        <f t="shared" si="2"/>
        <v>eva white</v>
      </c>
      <c r="O6" t="str">
        <f t="shared" si="3"/>
        <v>Eva White</v>
      </c>
      <c r="P6" t="str">
        <f t="shared" si="4"/>
        <v>example.com</v>
      </c>
      <c r="Q6" t="str">
        <f t="shared" si="5"/>
        <v>eva</v>
      </c>
      <c r="R6" t="str">
        <f t="shared" si="6"/>
        <v>xample.</v>
      </c>
      <c r="S6" t="str">
        <f t="shared" si="7"/>
        <v>eva xample.</v>
      </c>
    </row>
    <row r="7" spans="1:19" x14ac:dyDescent="0.3">
      <c r="L7" t="str">
        <f t="shared" si="1"/>
        <v/>
      </c>
      <c r="M7" s="3" t="str">
        <f t="shared" si="0"/>
        <v/>
      </c>
      <c r="N7" t="str">
        <f t="shared" si="2"/>
        <v/>
      </c>
      <c r="O7" t="str">
        <f t="shared" si="3"/>
        <v/>
      </c>
      <c r="P7" t="str">
        <f t="shared" si="4"/>
        <v/>
      </c>
      <c r="Q7" t="str">
        <f t="shared" si="5"/>
        <v/>
      </c>
      <c r="R7" t="str">
        <f t="shared" si="6"/>
        <v/>
      </c>
      <c r="S7" t="str">
        <f t="shared" si="7"/>
        <v xml:space="preserve"> </v>
      </c>
    </row>
    <row r="9" spans="1:19" x14ac:dyDescent="0.3">
      <c r="B9" t="s">
        <v>1</v>
      </c>
      <c r="C9" t="s">
        <v>36</v>
      </c>
    </row>
    <row r="10" spans="1:19" x14ac:dyDescent="0.3">
      <c r="B10" t="s">
        <v>30</v>
      </c>
      <c r="C10" t="s">
        <v>31</v>
      </c>
    </row>
    <row r="11" spans="1:19" x14ac:dyDescent="0.3">
      <c r="B11" t="s">
        <v>32</v>
      </c>
      <c r="C11" t="s">
        <v>31</v>
      </c>
    </row>
    <row r="12" spans="1:19" x14ac:dyDescent="0.3">
      <c r="B12" t="s">
        <v>33</v>
      </c>
      <c r="C12" t="s">
        <v>31</v>
      </c>
    </row>
    <row r="13" spans="1:19" x14ac:dyDescent="0.3">
      <c r="B13" t="s">
        <v>34</v>
      </c>
      <c r="C13" t="s">
        <v>31</v>
      </c>
    </row>
    <row r="14" spans="1:19" x14ac:dyDescent="0.3">
      <c r="B14" t="s">
        <v>35</v>
      </c>
      <c r="C14" t="s">
        <v>31</v>
      </c>
    </row>
    <row r="15" spans="1:19" x14ac:dyDescent="0.3">
      <c r="B15" t="s">
        <v>38</v>
      </c>
    </row>
  </sheetData>
  <dataConsolidate topLabels="1">
    <dataRefs count="2">
      <dataRef ref="F2:F6" sheet="EmployeeData"/>
      <dataRef ref="I10" sheet="EmployeeData"/>
    </dataRefs>
  </dataConsolidate>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selection sqref="A1:A6"/>
    </sheetView>
  </sheetViews>
  <sheetFormatPr defaultRowHeight="14.4" x14ac:dyDescent="0.3"/>
  <cols>
    <col min="1" max="1" width="14.77734375" style="9" bestFit="1" customWidth="1"/>
    <col min="2" max="2" width="19.5546875" bestFit="1" customWidth="1"/>
    <col min="3" max="3" width="13.88671875" bestFit="1" customWidth="1"/>
    <col min="7" max="7" width="19.21875" style="11" bestFit="1" customWidth="1"/>
    <col min="8" max="8" width="20.44140625" style="11" bestFit="1" customWidth="1"/>
    <col min="9" max="9" width="9.33203125" bestFit="1" customWidth="1"/>
  </cols>
  <sheetData>
    <row r="1" spans="1:9" x14ac:dyDescent="0.3">
      <c r="A1" s="8" t="s">
        <v>0</v>
      </c>
      <c r="B1" s="1" t="s">
        <v>3</v>
      </c>
      <c r="C1" s="1" t="s">
        <v>5</v>
      </c>
      <c r="D1" t="s">
        <v>44</v>
      </c>
      <c r="E1" t="s">
        <v>45</v>
      </c>
      <c r="F1" t="s">
        <v>46</v>
      </c>
      <c r="G1" s="18" t="s">
        <v>7</v>
      </c>
      <c r="H1" s="18" t="s">
        <v>8</v>
      </c>
      <c r="I1" t="s">
        <v>49</v>
      </c>
    </row>
    <row r="2" spans="1:9" x14ac:dyDescent="0.3">
      <c r="A2" s="9" t="s">
        <v>20</v>
      </c>
      <c r="B2" s="11">
        <v>44691</v>
      </c>
      <c r="C2">
        <v>50000</v>
      </c>
      <c r="D2">
        <f>YEAR(B2)</f>
        <v>2022</v>
      </c>
      <c r="E2">
        <f>MONTH(B2)</f>
        <v>5</v>
      </c>
      <c r="F2">
        <f>DAY(B2)</f>
        <v>10</v>
      </c>
      <c r="G2" s="11">
        <v>45444</v>
      </c>
      <c r="H2" s="11">
        <v>45458</v>
      </c>
      <c r="I2">
        <f>DATEDIF(G2,H2,"D")</f>
        <v>14</v>
      </c>
    </row>
    <row r="3" spans="1:9" x14ac:dyDescent="0.3">
      <c r="A3" s="9" t="s">
        <v>40</v>
      </c>
      <c r="B3" s="11">
        <v>44941</v>
      </c>
      <c r="C3">
        <v>60000</v>
      </c>
      <c r="D3">
        <f t="shared" ref="D3:D6" si="0">YEAR(B3)</f>
        <v>2023</v>
      </c>
      <c r="E3">
        <f t="shared" ref="E3:E6" si="1">MONTH(B3)</f>
        <v>1</v>
      </c>
      <c r="F3">
        <f t="shared" ref="F3:F6" si="2">DAY(B3)</f>
        <v>15</v>
      </c>
      <c r="G3" s="11">
        <v>45444</v>
      </c>
      <c r="H3" s="11">
        <v>45461</v>
      </c>
      <c r="I3">
        <f t="shared" ref="I3:I6" si="3">DATEDIF(G3,H3,"D")</f>
        <v>17</v>
      </c>
    </row>
    <row r="4" spans="1:9" x14ac:dyDescent="0.3">
      <c r="A4" s="9" t="s">
        <v>39</v>
      </c>
      <c r="B4" s="11">
        <v>44378</v>
      </c>
      <c r="C4">
        <v>55000</v>
      </c>
      <c r="D4">
        <f t="shared" si="0"/>
        <v>2021</v>
      </c>
      <c r="E4">
        <f t="shared" si="1"/>
        <v>7</v>
      </c>
      <c r="F4">
        <f t="shared" si="2"/>
        <v>1</v>
      </c>
      <c r="G4" s="11">
        <v>45444</v>
      </c>
      <c r="H4" s="11">
        <v>45463</v>
      </c>
      <c r="I4">
        <f t="shared" si="3"/>
        <v>19</v>
      </c>
    </row>
    <row r="5" spans="1:9" x14ac:dyDescent="0.3">
      <c r="A5" s="9" t="s">
        <v>10</v>
      </c>
      <c r="B5" s="11">
        <v>45219</v>
      </c>
      <c r="C5">
        <v>45000</v>
      </c>
      <c r="D5">
        <f t="shared" si="0"/>
        <v>2023</v>
      </c>
      <c r="E5">
        <f t="shared" si="1"/>
        <v>10</v>
      </c>
      <c r="F5">
        <f t="shared" si="2"/>
        <v>20</v>
      </c>
      <c r="G5" s="11">
        <v>45444</v>
      </c>
      <c r="H5" s="11">
        <v>45468</v>
      </c>
      <c r="I5">
        <f t="shared" si="3"/>
        <v>24</v>
      </c>
    </row>
    <row r="6" spans="1:9" x14ac:dyDescent="0.3">
      <c r="A6" s="9" t="s">
        <v>11</v>
      </c>
      <c r="B6" s="11">
        <v>43895</v>
      </c>
      <c r="C6">
        <v>70000</v>
      </c>
      <c r="D6">
        <f t="shared" si="0"/>
        <v>2020</v>
      </c>
      <c r="E6">
        <f t="shared" si="1"/>
        <v>3</v>
      </c>
      <c r="F6">
        <f t="shared" si="2"/>
        <v>5</v>
      </c>
      <c r="G6" s="11">
        <v>45444</v>
      </c>
      <c r="H6" s="11">
        <v>45473</v>
      </c>
      <c r="I6">
        <f t="shared" si="3"/>
        <v>29</v>
      </c>
    </row>
    <row r="10" spans="1:9" x14ac:dyDescent="0.3">
      <c r="A10" s="10">
        <f ca="1">TODAY()</f>
        <v>46053</v>
      </c>
      <c r="B10" s="13" t="s">
        <v>42</v>
      </c>
    </row>
    <row r="11" spans="1:9" x14ac:dyDescent="0.3">
      <c r="A11" s="10">
        <f ca="1">TODAY()-1</f>
        <v>46052</v>
      </c>
      <c r="B11" s="13" t="s">
        <v>41</v>
      </c>
    </row>
    <row r="12" spans="1:9" x14ac:dyDescent="0.3">
      <c r="A12" s="10">
        <f ca="1">TODAY()+1</f>
        <v>46054</v>
      </c>
      <c r="B12" s="13" t="s">
        <v>43</v>
      </c>
    </row>
    <row r="14" spans="1:9" x14ac:dyDescent="0.3">
      <c r="A14" s="9">
        <f>HOUR(B14)</f>
        <v>12</v>
      </c>
      <c r="B14" s="14">
        <v>0.50696759259259261</v>
      </c>
    </row>
    <row r="15" spans="1:9" x14ac:dyDescent="0.3">
      <c r="A15" s="12">
        <f>MIN(B14)</f>
        <v>0.50696759259259261</v>
      </c>
    </row>
    <row r="16" spans="1:9" x14ac:dyDescent="0.3">
      <c r="A16" s="9">
        <f>_xlfn.SEC(B14)</f>
        <v>1.1438757216731577</v>
      </c>
    </row>
    <row r="17" spans="1:3" x14ac:dyDescent="0.3">
      <c r="A17" s="15">
        <f ca="1">NOW()</f>
        <v>46053.697209027778</v>
      </c>
      <c r="B17">
        <f ca="1">HOUR(A17)</f>
        <v>16</v>
      </c>
    </row>
    <row r="18" spans="1:3" x14ac:dyDescent="0.3">
      <c r="B18">
        <f ca="1">MONTH(A17)</f>
        <v>1</v>
      </c>
    </row>
    <row r="19" spans="1:3" x14ac:dyDescent="0.3">
      <c r="B19">
        <f ca="1">SECOND(A17)</f>
        <v>59</v>
      </c>
    </row>
    <row r="20" spans="1:3" x14ac:dyDescent="0.3">
      <c r="A20" s="16" t="s">
        <v>47</v>
      </c>
      <c r="B20">
        <f ca="1">DATEDIF(A15,TODAY(),"y")</f>
        <v>126</v>
      </c>
    </row>
    <row r="21" spans="1:3" x14ac:dyDescent="0.3">
      <c r="A21" s="11">
        <v>43895</v>
      </c>
      <c r="B21">
        <f ca="1">NETWORKDAYS(B6,TODAY())</f>
        <v>1542</v>
      </c>
      <c r="C21" s="13" t="s">
        <v>48</v>
      </c>
    </row>
    <row r="22" spans="1:3" x14ac:dyDescent="0.3">
      <c r="B22" s="17"/>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8"/>
  <sheetViews>
    <sheetView zoomScale="130" zoomScaleNormal="130" workbookViewId="0">
      <selection activeCell="D19" sqref="D19"/>
    </sheetView>
  </sheetViews>
  <sheetFormatPr defaultRowHeight="14.4" x14ac:dyDescent="0.3"/>
  <cols>
    <col min="1" max="1" width="14.77734375" bestFit="1" customWidth="1"/>
    <col min="2" max="2" width="16.33203125" bestFit="1" customWidth="1"/>
    <col min="3" max="3" width="14.77734375" bestFit="1" customWidth="1"/>
    <col min="4" max="4" width="10.6640625" bestFit="1" customWidth="1"/>
  </cols>
  <sheetData>
    <row r="1" spans="1:6" x14ac:dyDescent="0.3">
      <c r="A1" s="8" t="s">
        <v>0</v>
      </c>
      <c r="B1" s="1" t="s">
        <v>2</v>
      </c>
      <c r="C1" s="1" t="s">
        <v>5</v>
      </c>
      <c r="D1" t="s">
        <v>50</v>
      </c>
      <c r="E1" s="19" t="s">
        <v>51</v>
      </c>
    </row>
    <row r="2" spans="1:6" x14ac:dyDescent="0.3">
      <c r="A2" s="9" t="s">
        <v>20</v>
      </c>
      <c r="B2" t="s">
        <v>17</v>
      </c>
      <c r="C2">
        <v>50000</v>
      </c>
      <c r="D2" t="str">
        <f>IF(C2&gt;50000,"H","L")</f>
        <v>L</v>
      </c>
      <c r="E2" t="str">
        <f>IF(OR(B2="HR",B2="Sales"),"Bonus","NO")</f>
        <v>Bonus</v>
      </c>
    </row>
    <row r="3" spans="1:6" x14ac:dyDescent="0.3">
      <c r="A3" s="9" t="s">
        <v>40</v>
      </c>
      <c r="B3" t="s">
        <v>18</v>
      </c>
      <c r="C3">
        <v>60000</v>
      </c>
      <c r="D3" t="str">
        <f t="shared" ref="D3:D6" si="0">IF(C3&gt;50000,"H","L")</f>
        <v>H</v>
      </c>
      <c r="E3" t="str">
        <f t="shared" ref="E3:E6" si="1">IF(OR(B3="HR",B3="Sales"),"Bonus","NO")</f>
        <v>NO</v>
      </c>
    </row>
    <row r="4" spans="1:6" x14ac:dyDescent="0.3">
      <c r="A4" s="9" t="s">
        <v>39</v>
      </c>
      <c r="B4" t="s">
        <v>17</v>
      </c>
      <c r="C4">
        <v>55000</v>
      </c>
      <c r="D4" t="str">
        <f t="shared" si="0"/>
        <v>H</v>
      </c>
      <c r="E4" t="str">
        <f t="shared" si="1"/>
        <v>Bonus</v>
      </c>
    </row>
    <row r="5" spans="1:6" x14ac:dyDescent="0.3">
      <c r="A5" s="9" t="s">
        <v>10</v>
      </c>
      <c r="B5" t="s">
        <v>19</v>
      </c>
      <c r="C5">
        <v>45000</v>
      </c>
      <c r="D5" t="str">
        <f t="shared" si="0"/>
        <v>L</v>
      </c>
      <c r="E5" t="str">
        <f t="shared" si="1"/>
        <v>Bonus</v>
      </c>
    </row>
    <row r="6" spans="1:6" x14ac:dyDescent="0.3">
      <c r="A6" s="9" t="s">
        <v>11</v>
      </c>
      <c r="B6" t="s">
        <v>18</v>
      </c>
      <c r="C6">
        <v>70000</v>
      </c>
      <c r="D6" t="str">
        <f t="shared" si="0"/>
        <v>H</v>
      </c>
      <c r="E6" t="str">
        <f t="shared" si="1"/>
        <v>NO</v>
      </c>
    </row>
    <row r="7" spans="1:6" x14ac:dyDescent="0.3">
      <c r="D7" s="6" t="s">
        <v>54</v>
      </c>
    </row>
    <row r="8" spans="1:6" x14ac:dyDescent="0.3">
      <c r="C8" s="6" t="s">
        <v>52</v>
      </c>
      <c r="D8" s="6" t="s">
        <v>53</v>
      </c>
      <c r="E8" t="b">
        <f>AND(C8="Mr",D8="Ms")</f>
        <v>1</v>
      </c>
      <c r="F8" t="s">
        <v>55</v>
      </c>
    </row>
    <row r="9" spans="1:6" x14ac:dyDescent="0.3">
      <c r="E9" t="b">
        <f>OR(C8="Mr",C8="Ms")</f>
        <v>1</v>
      </c>
      <c r="F9" t="s">
        <v>56</v>
      </c>
    </row>
    <row r="10" spans="1:6" x14ac:dyDescent="0.3">
      <c r="C10" s="20" t="s">
        <v>57</v>
      </c>
      <c r="D10">
        <f>VLOOKUP(A2,A1:E6,3,0)</f>
        <v>50000</v>
      </c>
    </row>
    <row r="11" spans="1:6" x14ac:dyDescent="0.3">
      <c r="C11" s="21" t="s">
        <v>58</v>
      </c>
      <c r="D11">
        <f>HLOOKUP(C1,A1:E6,3,0)</f>
        <v>60000</v>
      </c>
      <c r="E11">
        <f>HLOOKUP(C1,A1:E6,6,0)</f>
        <v>70000</v>
      </c>
    </row>
    <row r="12" spans="1:6" x14ac:dyDescent="0.3">
      <c r="D12" t="str">
        <f>HLOOKUP(D1,A1:E6,6,0)</f>
        <v>H</v>
      </c>
    </row>
    <row r="13" spans="1:6" x14ac:dyDescent="0.3">
      <c r="D13" t="str">
        <f>HLOOKUP(B1,A1:E6,6,0)</f>
        <v>Marketing</v>
      </c>
    </row>
    <row r="14" spans="1:6" x14ac:dyDescent="0.3">
      <c r="C14" s="6" t="s">
        <v>59</v>
      </c>
      <c r="D14">
        <f>INDEX(C1:C6,MATCH(A6,A1:A6,0))</f>
        <v>70000</v>
      </c>
    </row>
    <row r="15" spans="1:6" x14ac:dyDescent="0.3">
      <c r="B15" s="13" t="s">
        <v>60</v>
      </c>
      <c r="C15" s="9" t="s">
        <v>39</v>
      </c>
      <c r="D15">
        <f>INDEX(C2:C6,MATCH(A4,A2:A6,0))</f>
        <v>55000</v>
      </c>
    </row>
    <row r="16" spans="1:6" x14ac:dyDescent="0.3">
      <c r="C16" s="6" t="s">
        <v>61</v>
      </c>
      <c r="D16" t="str">
        <f>LOOKUP(C6,C1:C6,A1:A6)</f>
        <v>Eva White</v>
      </c>
    </row>
    <row r="17" spans="4:4" x14ac:dyDescent="0.3">
      <c r="D17" t="str">
        <f>LOOKUP(C3,C2:C6,A2:A6)</f>
        <v>bob Brown</v>
      </c>
    </row>
    <row r="18" spans="4:4" x14ac:dyDescent="0.3">
      <c r="D18" t="str">
        <f>LOOKUP(C2,C1:C6,A1:A6)</f>
        <v>John   Doe</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15"/>
  <sheetViews>
    <sheetView tabSelected="1" workbookViewId="0">
      <selection activeCell="M21" sqref="M21"/>
    </sheetView>
  </sheetViews>
  <sheetFormatPr defaultRowHeight="14.4" x14ac:dyDescent="0.3"/>
  <cols>
    <col min="1" max="1" width="19" customWidth="1"/>
    <col min="2" max="2" width="15.5546875" customWidth="1"/>
    <col min="3" max="3" width="9.5546875" bestFit="1" customWidth="1"/>
    <col min="4" max="4" width="11.77734375" bestFit="1" customWidth="1"/>
    <col min="5" max="5" width="10.5546875" bestFit="1" customWidth="1"/>
    <col min="6" max="6" width="8" customWidth="1"/>
    <col min="7" max="7" width="10.77734375" customWidth="1"/>
    <col min="8" max="8" width="19" customWidth="1"/>
    <col min="9" max="9" width="11.5546875" customWidth="1"/>
    <col min="10" max="10" width="19" customWidth="1"/>
    <col min="11" max="11" width="11.5546875" customWidth="1"/>
    <col min="12" max="12" width="23.77734375" customWidth="1"/>
    <col min="13" max="13" width="16.33203125" customWidth="1"/>
    <col min="14" max="14" width="7.44140625" customWidth="1"/>
    <col min="15" max="15" width="6.88671875" customWidth="1"/>
    <col min="16" max="16" width="15.33203125" customWidth="1"/>
    <col min="17" max="17" width="9" customWidth="1"/>
    <col min="18" max="18" width="11.6640625" customWidth="1"/>
    <col min="19" max="19" width="10.77734375" bestFit="1" customWidth="1"/>
    <col min="20" max="20" width="11.6640625" bestFit="1" customWidth="1"/>
    <col min="21" max="21" width="10.77734375" bestFit="1" customWidth="1"/>
  </cols>
  <sheetData>
    <row r="3" spans="1:7" x14ac:dyDescent="0.3">
      <c r="A3" s="22" t="s">
        <v>70</v>
      </c>
      <c r="B3" s="22" t="s">
        <v>68</v>
      </c>
    </row>
    <row r="4" spans="1:7" x14ac:dyDescent="0.3">
      <c r="A4" s="22" t="s">
        <v>66</v>
      </c>
      <c r="B4" t="s">
        <v>65</v>
      </c>
      <c r="C4" t="s">
        <v>64</v>
      </c>
      <c r="D4" t="s">
        <v>62</v>
      </c>
      <c r="E4" t="s">
        <v>63</v>
      </c>
      <c r="F4" t="s">
        <v>69</v>
      </c>
      <c r="G4" t="s">
        <v>67</v>
      </c>
    </row>
    <row r="5" spans="1:7" x14ac:dyDescent="0.3">
      <c r="A5" s="23">
        <v>5</v>
      </c>
      <c r="B5" s="24">
        <v>967.6</v>
      </c>
      <c r="C5" s="24">
        <v>2196.9899999999998</v>
      </c>
      <c r="D5" s="24"/>
      <c r="E5" s="24"/>
      <c r="F5" s="24"/>
      <c r="G5" s="24">
        <v>3164.5899999999997</v>
      </c>
    </row>
    <row r="6" spans="1:7" x14ac:dyDescent="0.3">
      <c r="A6" s="23">
        <v>6</v>
      </c>
      <c r="B6" s="24"/>
      <c r="C6" s="24"/>
      <c r="D6" s="24">
        <v>8248.02</v>
      </c>
      <c r="E6" s="24"/>
      <c r="F6" s="24"/>
      <c r="G6" s="24">
        <v>8248.02</v>
      </c>
    </row>
    <row r="7" spans="1:7" x14ac:dyDescent="0.3">
      <c r="A7" s="23">
        <v>7</v>
      </c>
      <c r="B7" s="24"/>
      <c r="C7" s="24"/>
      <c r="D7" s="24"/>
      <c r="E7" s="24">
        <v>4772.29</v>
      </c>
      <c r="F7" s="24">
        <v>1257.3399999999999</v>
      </c>
      <c r="G7" s="24">
        <v>6029.63</v>
      </c>
    </row>
    <row r="8" spans="1:7" x14ac:dyDescent="0.3">
      <c r="A8" s="23">
        <v>9</v>
      </c>
      <c r="B8" s="24"/>
      <c r="C8" s="24"/>
      <c r="D8" s="24"/>
      <c r="E8" s="24">
        <v>8288.85</v>
      </c>
      <c r="F8" s="24"/>
      <c r="G8" s="24">
        <v>8288.85</v>
      </c>
    </row>
    <row r="9" spans="1:7" x14ac:dyDescent="0.3">
      <c r="A9" s="23">
        <v>10</v>
      </c>
      <c r="B9" s="24"/>
      <c r="C9" s="24"/>
      <c r="D9" s="24"/>
      <c r="E9" s="24">
        <v>2754.3</v>
      </c>
      <c r="F9" s="24"/>
      <c r="G9" s="24">
        <v>2754.3</v>
      </c>
    </row>
    <row r="10" spans="1:7" x14ac:dyDescent="0.3">
      <c r="A10" s="23">
        <v>11</v>
      </c>
      <c r="B10" s="24"/>
      <c r="C10" s="24">
        <v>3594.07</v>
      </c>
      <c r="D10" s="24"/>
      <c r="E10" s="24"/>
      <c r="F10" s="24"/>
      <c r="G10" s="24">
        <v>3594.07</v>
      </c>
    </row>
    <row r="11" spans="1:7" x14ac:dyDescent="0.3">
      <c r="A11" s="23">
        <v>17</v>
      </c>
      <c r="B11" s="24"/>
      <c r="C11" s="24"/>
      <c r="D11" s="24">
        <v>1240.77</v>
      </c>
      <c r="E11" s="24"/>
      <c r="F11" s="24"/>
      <c r="G11" s="24">
        <v>1240.77</v>
      </c>
    </row>
    <row r="12" spans="1:7" x14ac:dyDescent="0.3">
      <c r="A12" s="23">
        <v>18</v>
      </c>
      <c r="B12" s="24"/>
      <c r="C12" s="24"/>
      <c r="D12" s="24"/>
      <c r="E12" s="24">
        <v>3128.59</v>
      </c>
      <c r="F12" s="24"/>
      <c r="G12" s="24">
        <v>3128.59</v>
      </c>
    </row>
    <row r="13" spans="1:7" x14ac:dyDescent="0.3">
      <c r="A13" s="23">
        <v>19</v>
      </c>
      <c r="B13" s="24">
        <v>4896.3100000000004</v>
      </c>
      <c r="C13" s="24">
        <v>4562.0200000000004</v>
      </c>
      <c r="D13" s="24"/>
      <c r="E13" s="24"/>
      <c r="F13" s="24"/>
      <c r="G13" s="24">
        <v>9458.3300000000017</v>
      </c>
    </row>
    <row r="14" spans="1:7" x14ac:dyDescent="0.3">
      <c r="A14" s="23">
        <v>20</v>
      </c>
      <c r="B14" s="24">
        <v>1027.53</v>
      </c>
      <c r="C14" s="24"/>
      <c r="D14" s="24"/>
      <c r="E14" s="24"/>
      <c r="F14" s="24"/>
      <c r="G14" s="24">
        <v>1027.53</v>
      </c>
    </row>
    <row r="15" spans="1:7" x14ac:dyDescent="0.3">
      <c r="A15" s="23" t="s">
        <v>67</v>
      </c>
      <c r="B15" s="24">
        <v>6891.4400000000005</v>
      </c>
      <c r="C15" s="24">
        <v>10353.08</v>
      </c>
      <c r="D15" s="24">
        <v>9488.7900000000009</v>
      </c>
      <c r="E15" s="24">
        <v>18944.03</v>
      </c>
      <c r="F15" s="24">
        <v>1257.3399999999999</v>
      </c>
      <c r="G15" s="24">
        <v>46934.680000000008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EmployeeData</vt:lpstr>
      <vt:lpstr>Sheet1</vt:lpstr>
      <vt:lpstr>if,sum</vt:lpstr>
      <vt:lpstr>Sheet3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YASH</cp:lastModifiedBy>
  <dcterms:created xsi:type="dcterms:W3CDTF">2025-06-26T08:34:41Z</dcterms:created>
  <dcterms:modified xsi:type="dcterms:W3CDTF">2026-01-31T11:14:08Z</dcterms:modified>
</cp:coreProperties>
</file>