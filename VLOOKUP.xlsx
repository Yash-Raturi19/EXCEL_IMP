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YASH\Downloads\"/>
    </mc:Choice>
  </mc:AlternateContent>
  <bookViews>
    <workbookView xWindow="0" yWindow="0" windowWidth="23040" windowHeight="9384" activeTab="3"/>
  </bookViews>
  <sheets>
    <sheet name="Sheet1" sheetId="1" r:id="rId1"/>
    <sheet name="Sheet2" sheetId="2" r:id="rId2"/>
    <sheet name="Sheet3" sheetId="3" r:id="rId3"/>
    <sheet name="Sheet5" sheetId="5" r:id="rId4"/>
    <sheet name="Sheet4" sheetId="4" r:id="rId5"/>
  </sheets>
  <definedNames>
    <definedName name="_xlnm._FilterDatabase" localSheetId="0" hidden="1">Sheet1!$E$21:$G$37</definedName>
    <definedName name="_xlnm._FilterDatabase" localSheetId="2" hidden="1">Sheet3!$A$1:$I$10</definedName>
    <definedName name="Slicer_name">#N/A</definedName>
    <definedName name="Slicer_name1">#N/A</definedName>
    <definedName name="Slicer_Sr_No.">#N/A</definedName>
    <definedName name="Slicer_Stat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2" i="1"/>
  <c r="O14" i="1"/>
  <c r="O15" i="1" l="1"/>
  <c r="M4" i="1"/>
  <c r="M11" i="1"/>
  <c r="M17" i="1"/>
  <c r="L12" i="3"/>
  <c r="L14" i="3" l="1"/>
  <c r="L13" i="3"/>
  <c r="J2" i="2" l="1"/>
  <c r="H3" i="2" l="1"/>
  <c r="H2" i="2"/>
  <c r="I22" i="1" l="1"/>
  <c r="K27" i="1" s="1"/>
  <c r="I21" i="1"/>
  <c r="K21" i="1" s="1"/>
  <c r="K28" i="1" l="1"/>
  <c r="K26" i="1"/>
  <c r="K25" i="1"/>
  <c r="K24" i="1"/>
  <c r="K23" i="1"/>
  <c r="K22" i="1"/>
  <c r="G32" i="1"/>
  <c r="G23" i="1"/>
  <c r="G24" i="1"/>
  <c r="G25" i="1"/>
  <c r="G26" i="1"/>
  <c r="G27" i="1"/>
  <c r="G28" i="1"/>
  <c r="G29" i="1"/>
  <c r="G30" i="1"/>
  <c r="G31" i="1"/>
  <c r="G33" i="1"/>
  <c r="G34" i="1"/>
  <c r="G35" i="1"/>
  <c r="G36" i="1"/>
  <c r="G37" i="1"/>
  <c r="G22" i="1"/>
  <c r="F23" i="1"/>
  <c r="F24" i="1"/>
  <c r="F25" i="1"/>
  <c r="F26" i="1"/>
  <c r="F27" i="1"/>
  <c r="F28" i="1"/>
  <c r="F29" i="1"/>
  <c r="F30" i="1"/>
  <c r="F31" i="1"/>
  <c r="F32" i="1"/>
  <c r="F33" i="1"/>
  <c r="F34" i="1"/>
  <c r="F35" i="1"/>
  <c r="F36" i="1"/>
  <c r="F37" i="1"/>
  <c r="F22" i="1"/>
  <c r="E23" i="1"/>
  <c r="E24" i="1"/>
  <c r="E25" i="1"/>
  <c r="E26" i="1"/>
  <c r="E27" i="1"/>
  <c r="E28" i="1"/>
  <c r="E29" i="1"/>
  <c r="E30" i="1"/>
  <c r="E31" i="1"/>
  <c r="E32" i="1"/>
  <c r="E33" i="1"/>
  <c r="E34" i="1"/>
  <c r="E35" i="1"/>
  <c r="E36" i="1"/>
  <c r="E37" i="1"/>
  <c r="E22" i="1"/>
  <c r="M7" i="1"/>
  <c r="L15" i="1" l="1"/>
</calcChain>
</file>

<file path=xl/sharedStrings.xml><?xml version="1.0" encoding="utf-8"?>
<sst xmlns="http://schemas.openxmlformats.org/spreadsheetml/2006/main" count="217" uniqueCount="84">
  <si>
    <t>Sr No.</t>
  </si>
  <si>
    <t>name</t>
  </si>
  <si>
    <t>Meera</t>
  </si>
  <si>
    <t>Vihaan</t>
  </si>
  <si>
    <t>Nishant</t>
  </si>
  <si>
    <t>Aditi</t>
  </si>
  <si>
    <t>Ishita</t>
  </si>
  <si>
    <t>Aarav</t>
  </si>
  <si>
    <t>Riya</t>
  </si>
  <si>
    <t>Aryan</t>
  </si>
  <si>
    <t>Ananya</t>
  </si>
  <si>
    <t>State</t>
  </si>
  <si>
    <t>Maharashtra</t>
  </si>
  <si>
    <t>Tamil Nadu</t>
  </si>
  <si>
    <t>Karnataka</t>
  </si>
  <si>
    <t>Gujarat</t>
  </si>
  <si>
    <t>Region</t>
  </si>
  <si>
    <t>West</t>
  </si>
  <si>
    <t>South</t>
  </si>
  <si>
    <t>Product Category</t>
  </si>
  <si>
    <t>Product Name</t>
  </si>
  <si>
    <t>Quantity</t>
  </si>
  <si>
    <t>Furniture</t>
  </si>
  <si>
    <t>Table</t>
  </si>
  <si>
    <t>Stationery</t>
  </si>
  <si>
    <t>Ruler</t>
  </si>
  <si>
    <t>Clothing</t>
  </si>
  <si>
    <t>Dress</t>
  </si>
  <si>
    <t>Groceries</t>
  </si>
  <si>
    <t>Lentils</t>
  </si>
  <si>
    <t>Eraser</t>
  </si>
  <si>
    <t>Electronics</t>
  </si>
  <si>
    <t>Headphones</t>
  </si>
  <si>
    <t>Laptop</t>
  </si>
  <si>
    <t>Pants</t>
  </si>
  <si>
    <t>Shirt</t>
  </si>
  <si>
    <t>Price per Unit</t>
  </si>
  <si>
    <t>Sales Amount</t>
  </si>
  <si>
    <t>emp id</t>
  </si>
  <si>
    <t>salary</t>
  </si>
  <si>
    <t>index</t>
  </si>
  <si>
    <t>match</t>
  </si>
  <si>
    <t>index +  match</t>
  </si>
  <si>
    <t>R TO L</t>
  </si>
  <si>
    <t>L TO R</t>
  </si>
  <si>
    <t>VLOOKUP()</t>
  </si>
  <si>
    <t>use vlookup</t>
  </si>
  <si>
    <t>total</t>
  </si>
  <si>
    <t>AVG</t>
  </si>
  <si>
    <t>Basic formulas</t>
  </si>
  <si>
    <t>FULL NAME</t>
  </si>
  <si>
    <t>excel</t>
  </si>
  <si>
    <t>emp_id</t>
  </si>
  <si>
    <t>gender</t>
  </si>
  <si>
    <t>deg</t>
  </si>
  <si>
    <t>contact</t>
  </si>
  <si>
    <t>age</t>
  </si>
  <si>
    <t>yash</t>
  </si>
  <si>
    <t>m</t>
  </si>
  <si>
    <t>f</t>
  </si>
  <si>
    <t>cdbvcy@b ucid</t>
  </si>
  <si>
    <t>csvych@bki</t>
  </si>
  <si>
    <t>bvdsvbdsyhu@bcjkdsv</t>
  </si>
  <si>
    <t>cvdsyuv@bhcvds</t>
  </si>
  <si>
    <t>vgvu@vgjbk</t>
  </si>
  <si>
    <t>cdbvcy</t>
  </si>
  <si>
    <t>b ucid</t>
  </si>
  <si>
    <t>csvych</t>
  </si>
  <si>
    <t>bki</t>
  </si>
  <si>
    <t>bvdsvbdsyhu</t>
  </si>
  <si>
    <t>bcjkdsv</t>
  </si>
  <si>
    <t>cvdsyuv</t>
  </si>
  <si>
    <t>bhcvds</t>
  </si>
  <si>
    <t>vgvu</t>
  </si>
  <si>
    <t>vgjbk</t>
  </si>
  <si>
    <t>ppu</t>
  </si>
  <si>
    <t>VLOOKUP</t>
  </si>
  <si>
    <t>work top botum in col</t>
  </si>
  <si>
    <t>Tamil Nadu use this first</t>
  </si>
  <si>
    <t>MATCH</t>
  </si>
  <si>
    <t>SUMIF</t>
  </si>
  <si>
    <t>COUNTIF</t>
  </si>
  <si>
    <t>Count of name</t>
  </si>
  <si>
    <t>Sum of Sr 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</si>
</sst>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400]h:mm:ss\ AM/PM"/>
    <numFmt numFmtId="165" formatCode="yy/mm/dd"/>
  </numFmts>
  <fonts count="18">
    <font>
      <sz val="11"/>
      <color theme="1"/>
      <name val="Calibri"/>
      <family val="2"/>
      <scheme val="minor"/>
    </font>
    <font>
      <sz val="11"/>
      <color theme="1"/>
      <name val="Aptos Narrow"/>
      <family val="2"/>
    </font>
    <font>
      <b/>
      <sz val="11"/>
      <color theme="1"/>
      <name val="Aptos Narrow"/>
      <family val="2"/>
    </font>
    <font>
      <sz val="11"/>
      <color rgb="FF9C0006"/>
      <name val="Calibri"/>
      <family val="2"/>
      <scheme val="minor"/>
    </font>
    <font>
      <b/>
      <sz val="11"/>
      <color theme="0"/>
      <name val="Calibri"/>
      <family val="2"/>
      <scheme val="minor"/>
    </font>
    <font>
      <b/>
      <sz val="11"/>
      <color rgb="FF9C0006"/>
      <name val="Calibri"/>
      <family val="2"/>
      <scheme val="minor"/>
    </font>
    <font>
      <b/>
      <sz val="11"/>
      <color theme="8" tint="-0.499984740745262"/>
      <name val="Calibri"/>
      <family val="2"/>
      <scheme val="minor"/>
    </font>
    <font>
      <b/>
      <sz val="11"/>
      <color rgb="FF002060"/>
      <name val="Calibri"/>
      <family val="2"/>
      <scheme val="minor"/>
    </font>
    <font>
      <sz val="11"/>
      <color rgb="FF006100"/>
      <name val="Calibri"/>
      <family val="2"/>
      <scheme val="minor"/>
    </font>
    <font>
      <sz val="11"/>
      <color rgb="FF9C6500"/>
      <name val="Calibri"/>
      <family val="2"/>
      <scheme val="minor"/>
    </font>
    <font>
      <sz val="24"/>
      <color rgb="FF9C6500"/>
      <name val="Calibri"/>
      <family val="2"/>
      <scheme val="minor"/>
    </font>
    <font>
      <sz val="14"/>
      <color rgb="FF006100"/>
      <name val="Arial Black"/>
      <family val="2"/>
    </font>
    <font>
      <sz val="11"/>
      <color rgb="FF006100"/>
      <name val="Arial Black"/>
      <family val="2"/>
    </font>
    <font>
      <sz val="11"/>
      <color rgb="FF9C6500"/>
      <name val="Arial Black"/>
      <family val="2"/>
    </font>
    <font>
      <u/>
      <sz val="11"/>
      <color theme="10"/>
      <name val="Calibri"/>
      <family val="2"/>
      <scheme val="minor"/>
    </font>
    <font>
      <b/>
      <sz val="11"/>
      <color rgb="FFFA7D00"/>
      <name val="Calibri"/>
      <family val="2"/>
      <scheme val="minor"/>
    </font>
    <font>
      <b/>
      <sz val="14"/>
      <color theme="0"/>
      <name val="Calibri"/>
      <family val="2"/>
      <scheme val="minor"/>
    </font>
    <font>
      <b/>
      <sz val="11"/>
      <color theme="9"/>
      <name val="Calibri"/>
      <family val="2"/>
      <scheme val="minor"/>
    </font>
  </fonts>
  <fills count="8">
    <fill>
      <patternFill patternType="none"/>
    </fill>
    <fill>
      <patternFill patternType="gray125"/>
    </fill>
    <fill>
      <patternFill patternType="solid">
        <fgColor rgb="FFFFC7CE"/>
      </patternFill>
    </fill>
    <fill>
      <patternFill patternType="solid">
        <fgColor rgb="FFA5A5A5"/>
      </patternFill>
    </fill>
    <fill>
      <patternFill patternType="solid">
        <fgColor rgb="FFC6EFCE"/>
      </patternFill>
    </fill>
    <fill>
      <patternFill patternType="solid">
        <fgColor rgb="FFFFEB9C"/>
      </patternFill>
    </fill>
    <fill>
      <patternFill patternType="solid">
        <fgColor theme="2" tint="-0.499984740745262"/>
        <bgColor indexed="64"/>
      </patternFill>
    </fill>
    <fill>
      <patternFill patternType="solid">
        <fgColor rgb="FFF2F2F2"/>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double">
        <color rgb="FF3F3F3F"/>
      </left>
      <right style="double">
        <color rgb="FF3F3F3F"/>
      </right>
      <top style="double">
        <color rgb="FF3F3F3F"/>
      </top>
      <bottom style="double">
        <color rgb="FF3F3F3F"/>
      </bottom>
      <diagonal/>
    </border>
    <border>
      <left style="medium">
        <color rgb="FFCCCCCC"/>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rgb="FFCCCCCC"/>
      </left>
      <right/>
      <top style="medium">
        <color rgb="FFCCCCCC"/>
      </top>
      <bottom style="medium">
        <color rgb="FFCCCCCC"/>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3" fillId="2" borderId="0" applyNumberFormat="0" applyBorder="0" applyAlignment="0" applyProtection="0"/>
    <xf numFmtId="0" fontId="4" fillId="3" borderId="2" applyNumberFormat="0" applyAlignment="0" applyProtection="0"/>
    <xf numFmtId="0" fontId="8" fillId="4" borderId="0" applyNumberFormat="0" applyBorder="0" applyAlignment="0" applyProtection="0"/>
    <xf numFmtId="0" fontId="9" fillId="5" borderId="0" applyNumberFormat="0" applyBorder="0" applyAlignment="0" applyProtection="0"/>
    <xf numFmtId="0" fontId="14" fillId="0" borderId="0" applyNumberFormat="0" applyFill="0" applyBorder="0" applyAlignment="0" applyProtection="0"/>
    <xf numFmtId="0" fontId="15" fillId="7" borderId="8" applyNumberFormat="0" applyAlignment="0" applyProtection="0"/>
  </cellStyleXfs>
  <cellXfs count="37">
    <xf numFmtId="0" fontId="0" fillId="0" borderId="0" xfId="0"/>
    <xf numFmtId="0" fontId="1" fillId="0" borderId="1" xfId="0" applyFont="1" applyBorder="1" applyAlignment="1">
      <alignment wrapText="1"/>
    </xf>
    <xf numFmtId="0" fontId="2" fillId="0" borderId="1" xfId="0" applyFont="1" applyBorder="1" applyAlignment="1">
      <alignment horizontal="center" vertical="top" wrapText="1"/>
    </xf>
    <xf numFmtId="0" fontId="1" fillId="0" borderId="1" xfId="0" applyFont="1" applyBorder="1" applyAlignment="1">
      <alignment horizontal="right" wrapText="1"/>
    </xf>
    <xf numFmtId="0" fontId="3" fillId="2" borderId="0" xfId="1"/>
    <xf numFmtId="0" fontId="3" fillId="2" borderId="0" xfId="1" applyBorder="1" applyAlignment="1">
      <alignment horizontal="right" wrapText="1"/>
    </xf>
    <xf numFmtId="0" fontId="5" fillId="2" borderId="0" xfId="1" applyFont="1"/>
    <xf numFmtId="0" fontId="4" fillId="3" borderId="2" xfId="2"/>
    <xf numFmtId="0" fontId="6" fillId="0" borderId="0" xfId="0" applyFont="1" applyAlignment="1">
      <alignment horizontal="center"/>
    </xf>
    <xf numFmtId="0" fontId="2" fillId="0" borderId="3" xfId="0" applyFont="1" applyFill="1" applyBorder="1" applyAlignment="1">
      <alignment horizontal="center" vertical="top" wrapText="1"/>
    </xf>
    <xf numFmtId="0" fontId="7" fillId="0" borderId="0" xfId="0" applyFont="1"/>
    <xf numFmtId="0" fontId="9" fillId="5" borderId="0" xfId="4"/>
    <xf numFmtId="0" fontId="0" fillId="0" borderId="4" xfId="0" applyBorder="1"/>
    <xf numFmtId="1" fontId="0" fillId="0" borderId="4" xfId="0" applyNumberFormat="1" applyBorder="1"/>
    <xf numFmtId="0" fontId="0" fillId="0" borderId="0" xfId="0" applyBorder="1"/>
    <xf numFmtId="0" fontId="0" fillId="0" borderId="0" xfId="0" applyAlignment="1">
      <alignment wrapText="1"/>
    </xf>
    <xf numFmtId="0" fontId="11" fillId="4" borderId="5" xfId="3" applyFont="1" applyBorder="1" applyAlignment="1">
      <alignment horizontal="center" wrapText="1"/>
    </xf>
    <xf numFmtId="0" fontId="12" fillId="4" borderId="5" xfId="3" applyFont="1" applyBorder="1" applyAlignment="1">
      <alignment wrapText="1"/>
    </xf>
    <xf numFmtId="0" fontId="13" fillId="5" borderId="5" xfId="4" applyFont="1" applyBorder="1"/>
    <xf numFmtId="164" fontId="0" fillId="0" borderId="0" xfId="0" applyNumberFormat="1"/>
    <xf numFmtId="165" fontId="0" fillId="0" borderId="0" xfId="0" applyNumberFormat="1"/>
    <xf numFmtId="0" fontId="4" fillId="3" borderId="0" xfId="2" applyBorder="1"/>
    <xf numFmtId="0" fontId="4" fillId="3" borderId="2" xfId="2" applyNumberFormat="1"/>
    <xf numFmtId="0" fontId="0" fillId="0" borderId="0" xfId="0" applyNumberFormat="1"/>
    <xf numFmtId="0" fontId="0" fillId="6" borderId="0" xfId="0" applyFill="1"/>
    <xf numFmtId="0" fontId="2" fillId="6" borderId="1" xfId="0" applyFont="1" applyFill="1" applyBorder="1" applyAlignment="1">
      <alignment horizontal="center" vertical="top" wrapText="1"/>
    </xf>
    <xf numFmtId="0" fontId="3" fillId="2" borderId="1" xfId="1" applyBorder="1" applyAlignment="1">
      <alignment wrapText="1"/>
    </xf>
    <xf numFmtId="0" fontId="3" fillId="2" borderId="1" xfId="1" applyBorder="1" applyAlignment="1">
      <alignment horizontal="right" wrapText="1"/>
    </xf>
    <xf numFmtId="0" fontId="3" fillId="2" borderId="7" xfId="1" applyBorder="1" applyAlignment="1">
      <alignment horizontal="right" wrapText="1"/>
    </xf>
    <xf numFmtId="0" fontId="14" fillId="6" borderId="7" xfId="5" applyFill="1" applyBorder="1" applyAlignment="1">
      <alignment horizontal="center" vertical="top" wrapText="1"/>
    </xf>
    <xf numFmtId="0" fontId="14" fillId="0" borderId="0" xfId="5"/>
    <xf numFmtId="0" fontId="16" fillId="3" borderId="2" xfId="2" applyFont="1"/>
    <xf numFmtId="0" fontId="15" fillId="7" borderId="8" xfId="6"/>
    <xf numFmtId="0" fontId="17" fillId="0" borderId="0" xfId="0" applyFont="1"/>
    <xf numFmtId="0" fontId="0" fillId="0" borderId="0" xfId="0" pivotButton="1"/>
    <xf numFmtId="0" fontId="10" fillId="5" borderId="4" xfId="4" applyFont="1" applyBorder="1" applyAlignment="1">
      <alignment horizontal="center" wrapText="1"/>
    </xf>
    <xf numFmtId="0" fontId="10" fillId="5" borderId="6" xfId="4" applyFont="1" applyBorder="1" applyAlignment="1">
      <alignment horizontal="center" wrapText="1"/>
    </xf>
  </cellXfs>
  <cellStyles count="7">
    <cellStyle name="Bad" xfId="1" builtinId="27"/>
    <cellStyle name="Calculation" xfId="6" builtinId="22"/>
    <cellStyle name="Check Cell" xfId="2" builtinId="23"/>
    <cellStyle name="Good" xfId="3" builtinId="26"/>
    <cellStyle name="Hyperlink" xfId="5" builtinId="8"/>
    <cellStyle name="Neutral" xfId="4" builtinId="28"/>
    <cellStyle name="Normal" xfId="0" builtinId="0"/>
  </cellStyles>
  <dxfs count="12">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right style="medium">
          <color rgb="FFCCCCCC"/>
        </right>
      </border>
    </dxf>
    <dxf>
      <font>
        <b/>
        <i val="0"/>
        <strike val="0"/>
        <condense val="0"/>
        <extend val="0"/>
        <outline val="0"/>
        <shadow val="0"/>
        <u val="none"/>
        <vertAlign val="baseline"/>
        <sz val="11"/>
        <color theme="1"/>
        <name val="Aptos Narrow"/>
        <scheme val="none"/>
      </font>
      <fill>
        <patternFill patternType="solid">
          <fgColor indexed="64"/>
          <bgColor theme="2" tint="-0.499984740745262"/>
        </patternFill>
      </fill>
      <alignment horizontal="center" vertical="top"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Aptos Narrow"/>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[VLOOKUP.xlsx]Sheet5!PivotTable4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name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Count of name</c:v>
                </c:pt>
              </c:strCache>
            </c:strRef>
          </c:tx>
          <c:spPr>
            <a:solidFill>
              <a:schemeClr val="accent1"/>
            </a:solidFill>
            <a:ln>
              <a:noFill/>
            </a:ln>
            <a:effectLst/>
          </c:spPr>
          <c:invertIfNegative val="0"/>
          <c:cat>
            <c:strRef>
              <c:f>Sheet5!$A$4:$A$10</c:f>
              <c:strCache>
                <c:ptCount val="7"/>
                <c:pt idx="0">
                  <c:v>Aarav</c:v>
                </c:pt>
                <c:pt idx="1">
                  <c:v>Aditi</c:v>
                </c:pt>
                <c:pt idx="2">
                  <c:v>Ishita</c:v>
                </c:pt>
                <c:pt idx="3">
                  <c:v>Meera</c:v>
                </c:pt>
                <c:pt idx="4">
                  <c:v>Nishant</c:v>
                </c:pt>
                <c:pt idx="5">
                  <c:v>Riya</c:v>
                </c:pt>
                <c:pt idx="6">
                  <c:v>Vihaan</c:v>
                </c:pt>
              </c:strCache>
            </c:strRef>
          </c:cat>
          <c:val>
            <c:numRef>
              <c:f>Sheet5!$B$4:$B$10</c:f>
              <c:numCache>
                <c:formatCode>General</c:formatCode>
                <c:ptCount val="7"/>
                <c:pt idx="0">
                  <c:v>1</c:v>
                </c:pt>
                <c:pt idx="1">
                  <c:v>1</c:v>
                </c:pt>
                <c:pt idx="2">
                  <c:v>1</c:v>
                </c:pt>
                <c:pt idx="3">
                  <c:v>1</c:v>
                </c:pt>
                <c:pt idx="4">
                  <c:v>1</c:v>
                </c:pt>
                <c:pt idx="5">
                  <c:v>1</c:v>
                </c:pt>
                <c:pt idx="6">
                  <c:v>3</c:v>
                </c:pt>
              </c:numCache>
            </c:numRef>
          </c:val>
        </c:ser>
        <c:ser>
          <c:idx val="1"/>
          <c:order val="1"/>
          <c:tx>
            <c:strRef>
              <c:f>Sheet5!$C$3</c:f>
              <c:strCache>
                <c:ptCount val="1"/>
                <c:pt idx="0">
                  <c:v>Sum of Sr No.</c:v>
                </c:pt>
              </c:strCache>
            </c:strRef>
          </c:tx>
          <c:spPr>
            <a:solidFill>
              <a:schemeClr val="accent2"/>
            </a:solidFill>
            <a:ln>
              <a:noFill/>
            </a:ln>
            <a:effectLst/>
          </c:spPr>
          <c:invertIfNegative val="0"/>
          <c:cat>
            <c:strRef>
              <c:f>Sheet5!$A$4:$A$10</c:f>
              <c:strCache>
                <c:ptCount val="7"/>
                <c:pt idx="0">
                  <c:v>Aarav</c:v>
                </c:pt>
                <c:pt idx="1">
                  <c:v>Aditi</c:v>
                </c:pt>
                <c:pt idx="2">
                  <c:v>Ishita</c:v>
                </c:pt>
                <c:pt idx="3">
                  <c:v>Meera</c:v>
                </c:pt>
                <c:pt idx="4">
                  <c:v>Nishant</c:v>
                </c:pt>
                <c:pt idx="5">
                  <c:v>Riya</c:v>
                </c:pt>
                <c:pt idx="6">
                  <c:v>Vihaan</c:v>
                </c:pt>
              </c:strCache>
            </c:strRef>
          </c:cat>
          <c:val>
            <c:numRef>
              <c:f>Sheet5!$C$4:$C$10</c:f>
              <c:numCache>
                <c:formatCode>General</c:formatCode>
                <c:ptCount val="7"/>
                <c:pt idx="0">
                  <c:v>7</c:v>
                </c:pt>
                <c:pt idx="1">
                  <c:v>5</c:v>
                </c:pt>
                <c:pt idx="2">
                  <c:v>6</c:v>
                </c:pt>
                <c:pt idx="3">
                  <c:v>1</c:v>
                </c:pt>
                <c:pt idx="4">
                  <c:v>3</c:v>
                </c:pt>
                <c:pt idx="5">
                  <c:v>8</c:v>
                </c:pt>
                <c:pt idx="6">
                  <c:v>15</c:v>
                </c:pt>
              </c:numCache>
            </c:numRef>
          </c:val>
        </c:ser>
        <c:dLbls>
          <c:showLegendKey val="0"/>
          <c:showVal val="0"/>
          <c:showCatName val="0"/>
          <c:showSerName val="0"/>
          <c:showPercent val="0"/>
          <c:showBubbleSize val="0"/>
        </c:dLbls>
        <c:gapWidth val="219"/>
        <c:overlap val="-27"/>
        <c:axId val="162737600"/>
        <c:axId val="162743584"/>
      </c:barChart>
      <c:catAx>
        <c:axId val="1627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43584"/>
        <c:crosses val="autoZero"/>
        <c:auto val="1"/>
        <c:lblAlgn val="ctr"/>
        <c:lblOffset val="100"/>
        <c:noMultiLvlLbl val="0"/>
      </c:catAx>
      <c:valAx>
        <c:axId val="16274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7600"/>
        <c:crosses val="autoZero"/>
        <c:crossBetween val="between"/>
      </c:valAx>
      <c:spPr>
        <a:pattFill prst="lgGrid">
          <a:fgClr>
            <a:schemeClr val="accent1">
              <a:lumMod val="75000"/>
            </a:schemeClr>
          </a:fgClr>
          <a:bgClr>
            <a:schemeClr val="bg1"/>
          </a:bgClr>
        </a:pattFill>
        <a:ln cap="rnd">
          <a:gradFill flip="none" rotWithShape="1">
            <a:gsLst>
              <a:gs pos="82000">
                <a:srgbClr val="BFA138"/>
              </a:gs>
              <a:gs pos="77266">
                <a:srgbClr val="C49505"/>
              </a:gs>
              <a:gs pos="0">
                <a:schemeClr val="accent1">
                  <a:lumMod val="75000"/>
                  <a:alpha val="98000"/>
                </a:schemeClr>
              </a:gs>
              <a:gs pos="46000">
                <a:schemeClr val="accent4">
                  <a:lumMod val="95000"/>
                  <a:lumOff val="5000"/>
                </a:schemeClr>
              </a:gs>
              <a:gs pos="100000">
                <a:schemeClr val="accent4">
                  <a:lumMod val="60000"/>
                </a:schemeClr>
              </a:gs>
            </a:gsLst>
            <a:path path="rect">
              <a:fillToRect l="100000" t="100000"/>
            </a:path>
            <a:tileRect r="-100000" b="-100000"/>
          </a:gra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Sheet4!$A$2</c:f>
              <c:strCache>
                <c:ptCount val="1"/>
                <c:pt idx="0">
                  <c:v>Meera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Sheet4!$B$2</c:f>
              <c:numCache>
                <c:formatCode>General</c:formatCode>
                <c:ptCount val="1"/>
                <c:pt idx="0">
                  <c:v>4016.25</c:v>
                </c:pt>
              </c:numCache>
            </c:numRef>
          </c:val>
        </c:ser>
        <c:ser>
          <c:idx val="1"/>
          <c:order val="1"/>
          <c:tx>
            <c:strRef>
              <c:f>Sheet4!$A$3</c:f>
              <c:strCache>
                <c:ptCount val="1"/>
                <c:pt idx="0">
                  <c:v>Vihaan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Sheet4!$B$3</c:f>
              <c:numCache>
                <c:formatCode>General</c:formatCode>
                <c:ptCount val="1"/>
                <c:pt idx="0">
                  <c:v>3801.85</c:v>
                </c:pt>
              </c:numCache>
            </c:numRef>
          </c:val>
        </c:ser>
        <c:ser>
          <c:idx val="2"/>
          <c:order val="2"/>
          <c:tx>
            <c:strRef>
              <c:f>Sheet4!$A$4</c:f>
              <c:strCache>
                <c:ptCount val="1"/>
                <c:pt idx="0">
                  <c:v>Nishant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Sheet4!$B$4</c:f>
              <c:numCache>
                <c:formatCode>General</c:formatCode>
                <c:ptCount val="1"/>
                <c:pt idx="0">
                  <c:v>3594.07</c:v>
                </c:pt>
              </c:numCache>
            </c:numRef>
          </c:val>
        </c:ser>
        <c:ser>
          <c:idx val="3"/>
          <c:order val="3"/>
          <c:tx>
            <c:strRef>
              <c:f>Sheet4!$A$5</c:f>
              <c:strCache>
                <c:ptCount val="1"/>
                <c:pt idx="0">
                  <c:v>Vihaan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Sheet4!$B$5</c:f>
              <c:numCache>
                <c:formatCode>General</c:formatCode>
                <c:ptCount val="1"/>
                <c:pt idx="0">
                  <c:v>4487</c:v>
                </c:pt>
              </c:numCache>
            </c:numRef>
          </c:val>
        </c:ser>
        <c:ser>
          <c:idx val="4"/>
          <c:order val="4"/>
          <c:tx>
            <c:strRef>
              <c:f>Sheet4!$A$6</c:f>
              <c:strCache>
                <c:ptCount val="1"/>
                <c:pt idx="0">
                  <c:v>Aditi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Sheet4!$B$6</c:f>
              <c:numCache>
                <c:formatCode>General</c:formatCode>
                <c:ptCount val="1"/>
                <c:pt idx="0">
                  <c:v>1240.77</c:v>
                </c:pt>
              </c:numCache>
            </c:numRef>
          </c:val>
        </c:ser>
        <c:ser>
          <c:idx val="5"/>
          <c:order val="5"/>
          <c:tx>
            <c:strRef>
              <c:f>Sheet4!$A$7</c:f>
              <c:strCache>
                <c:ptCount val="1"/>
                <c:pt idx="0">
                  <c:v>Ishita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Sheet4!$B$7</c:f>
              <c:numCache>
                <c:formatCode>General</c:formatCode>
                <c:ptCount val="1"/>
                <c:pt idx="0">
                  <c:v>4772.29</c:v>
                </c:pt>
              </c:numCache>
            </c:numRef>
          </c:val>
        </c:ser>
        <c:ser>
          <c:idx val="6"/>
          <c:order val="6"/>
          <c:tx>
            <c:strRef>
              <c:f>Sheet4!$A$8</c:f>
              <c:strCache>
                <c:ptCount val="1"/>
                <c:pt idx="0">
                  <c:v>Aarav</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Sheet4!$B$8</c:f>
              <c:numCache>
                <c:formatCode>General</c:formatCode>
                <c:ptCount val="1"/>
                <c:pt idx="0">
                  <c:v>2196.9899999999998</c:v>
                </c:pt>
              </c:numCache>
            </c:numRef>
          </c:val>
        </c:ser>
        <c:ser>
          <c:idx val="7"/>
          <c:order val="7"/>
          <c:tx>
            <c:strRef>
              <c:f>Sheet4!$A$9</c:f>
              <c:strCache>
                <c:ptCount val="1"/>
                <c:pt idx="0">
                  <c:v>Riya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Sheet4!$B$9</c:f>
              <c:numCache>
                <c:formatCode>General</c:formatCode>
                <c:ptCount val="1"/>
                <c:pt idx="0">
                  <c:v>967.6</c:v>
                </c:pt>
              </c:numCache>
            </c:numRef>
          </c:val>
        </c:ser>
        <c:ser>
          <c:idx val="8"/>
          <c:order val="8"/>
          <c:tx>
            <c:strRef>
              <c:f>Sheet4!$A$10</c:f>
              <c:strCache>
                <c:ptCount val="1"/>
                <c:pt idx="0">
                  <c:v>Vihaan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Sheet4!$B$1</c:f>
              <c:strCache>
                <c:ptCount val="1"/>
                <c:pt idx="0">
                  <c:v>Price per Unit</c:v>
                </c:pt>
              </c:strCache>
            </c:strRef>
          </c:cat>
          <c:val>
            <c:numRef>
              <c:f>Sheet4!$B$10</c:f>
              <c:numCache>
                <c:formatCode>General</c:formatCode>
                <c:ptCount val="1"/>
                <c:pt idx="0">
                  <c:v>3128.59</c:v>
                </c:pt>
              </c:numCache>
            </c:numRef>
          </c:val>
        </c:ser>
        <c:dLbls>
          <c:dLblPos val="outEnd"/>
          <c:showLegendKey val="0"/>
          <c:showVal val="1"/>
          <c:showCatName val="0"/>
          <c:showSerName val="0"/>
          <c:showPercent val="0"/>
          <c:showBubbleSize val="0"/>
        </c:dLbls>
        <c:gapWidth val="219"/>
        <c:overlap val="-27"/>
        <c:axId val="162739232"/>
        <c:axId val="162739776"/>
      </c:barChart>
      <c:catAx>
        <c:axId val="1627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9776"/>
        <c:crosses val="autoZero"/>
        <c:auto val="1"/>
        <c:lblAlgn val="ctr"/>
        <c:lblOffset val="100"/>
        <c:noMultiLvlLbl val="0"/>
      </c:catAx>
      <c:valAx>
        <c:axId val="16273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92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Sheet4!$B$1</c:f>
              <c:strCache>
                <c:ptCount val="1"/>
                <c:pt idx="0">
                  <c:v>Price per Unit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Sheet4!$A$2:$A$10</c:f>
              <c:strCache>
                <c:ptCount val="9"/>
                <c:pt idx="0">
                  <c:v>Meera</c:v>
                </c:pt>
                <c:pt idx="1">
                  <c:v>Vihaan</c:v>
                </c:pt>
                <c:pt idx="2">
                  <c:v>Nishant</c:v>
                </c:pt>
                <c:pt idx="3">
                  <c:v>Vihaan</c:v>
                </c:pt>
                <c:pt idx="4">
                  <c:v>Aditi</c:v>
                </c:pt>
                <c:pt idx="5">
                  <c:v>Ishita</c:v>
                </c:pt>
                <c:pt idx="6">
                  <c:v>Aarav</c:v>
                </c:pt>
                <c:pt idx="7">
                  <c:v>Riya</c:v>
                </c:pt>
                <c:pt idx="8">
                  <c:v>Vihaan</c:v>
                </c:pt>
              </c:strCache>
            </c:strRef>
          </c:cat>
          <c:val>
            <c:numRef>
              <c:f>Sheet4!$B$2:$B$10</c:f>
              <c:numCache>
                <c:formatCode>General</c:formatCode>
                <c:ptCount val="9"/>
                <c:pt idx="0">
                  <c:v>4016.25</c:v>
                </c:pt>
                <c:pt idx="1">
                  <c:v>3801.85</c:v>
                </c:pt>
                <c:pt idx="2">
                  <c:v>3594.07</c:v>
                </c:pt>
                <c:pt idx="3">
                  <c:v>4487</c:v>
                </c:pt>
                <c:pt idx="4">
                  <c:v>1240.77</c:v>
                </c:pt>
                <c:pt idx="5">
                  <c:v>4772.29</c:v>
                </c:pt>
                <c:pt idx="6">
                  <c:v>2196.9899999999998</c:v>
                </c:pt>
                <c:pt idx="7">
                  <c:v>967.6</c:v>
                </c:pt>
                <c:pt idx="8">
                  <c:v>3128.59</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Sheet4!$B$1</c:f>
              <c:strCache>
                <c:ptCount val="1"/>
                <c:pt idx="0">
                  <c:v>Price per Unit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Sheet4!$A$2:$A$10</c:f>
              <c:strCache>
                <c:ptCount val="9"/>
                <c:pt idx="0">
                  <c:v>Meera</c:v>
                </c:pt>
                <c:pt idx="1">
                  <c:v>Vihaan</c:v>
                </c:pt>
                <c:pt idx="2">
                  <c:v>Nishant</c:v>
                </c:pt>
                <c:pt idx="3">
                  <c:v>Vihaan</c:v>
                </c:pt>
                <c:pt idx="4">
                  <c:v>Aditi</c:v>
                </c:pt>
                <c:pt idx="5">
                  <c:v>Ishita</c:v>
                </c:pt>
                <c:pt idx="6">
                  <c:v>Aarav</c:v>
                </c:pt>
                <c:pt idx="7">
                  <c:v>Riya</c:v>
                </c:pt>
                <c:pt idx="8">
                  <c:v>Vihaan</c:v>
                </c:pt>
              </c:strCache>
            </c:strRef>
          </c:cat>
          <c:val>
            <c:numRef>
              <c:f>Sheet4!$B$2:$B$10</c:f>
              <c:numCache>
                <c:formatCode>General</c:formatCode>
                <c:ptCount val="9"/>
                <c:pt idx="0">
                  <c:v>4016.25</c:v>
                </c:pt>
                <c:pt idx="1">
                  <c:v>3801.85</c:v>
                </c:pt>
                <c:pt idx="2">
                  <c:v>3594.07</c:v>
                </c:pt>
                <c:pt idx="3">
                  <c:v>4487</c:v>
                </c:pt>
                <c:pt idx="4">
                  <c:v>1240.77</c:v>
                </c:pt>
                <c:pt idx="5">
                  <c:v>4772.29</c:v>
                </c:pt>
                <c:pt idx="6">
                  <c:v>2196.9899999999998</c:v>
                </c:pt>
                <c:pt idx="7">
                  <c:v>967.6</c:v>
                </c:pt>
                <c:pt idx="8">
                  <c:v>3128.59</c:v>
                </c:pt>
              </c:numCache>
            </c:numRef>
          </c:val>
          <c:smooth val="0"/>
        </c:ser>
        <c:dLbls>
          <c:showLegendKey val="0"/>
          <c:showVal val="0"/>
          <c:showCatName val="0"/>
          <c:showSerName val="0"/>
          <c:showPercent val="0"/>
          <c:showBubbleSize val="0"/>
        </c:dLbls>
        <c:marker val="1"/>
        <c:smooth val="0"/>
        <c:axId val="162733248"/>
        <c:axId val="162744128"/>
      </c:lineChart>
      <c:catAx>
        <c:axId val="16273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44128"/>
        <c:crosses val="autoZero"/>
        <c:auto val="1"/>
        <c:lblAlgn val="ctr"/>
        <c:lblOffset val="100"/>
        <c:noMultiLvlLbl val="0"/>
      </c:catAx>
      <c:valAx>
        <c:axId val="16274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3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Sheet4!$A$2</c:f>
              <c:strCache>
                <c:ptCount val="1"/>
                <c:pt idx="0">
                  <c:v>Meera</c:v>
                </c:pt>
              </c:strCache>
            </c:strRef>
          </c:tx>
          <c:spPr>
            <a:solidFill>
              <a:schemeClr val="accent1"/>
            </a:solidFill>
            <a:ln>
              <a:noFill/>
            </a:ln>
            <a:effectLst/>
          </c:spPr>
          <c:invertIfNegative val="0"/>
          <c:cat>
            <c:strRef>
              <c:f>Sheet4!$B$1</c:f>
              <c:strCache>
                <c:ptCount val="1"/>
                <c:pt idx="0">
                  <c:v>Price per Unit</c:v>
                </c:pt>
              </c:strCache>
            </c:strRef>
          </c:cat>
          <c:val>
            <c:numRef>
              <c:f>Sheet4!$B$2</c:f>
              <c:numCache>
                <c:formatCode>General</c:formatCode>
                <c:ptCount val="1"/>
                <c:pt idx="0">
                  <c:v>4016.25</c:v>
                </c:pt>
              </c:numCache>
            </c:numRef>
          </c:val>
        </c:ser>
        <c:ser>
          <c:idx val="1"/>
          <c:order val="1"/>
          <c:tx>
            <c:strRef>
              <c:f>Sheet4!$A$3</c:f>
              <c:strCache>
                <c:ptCount val="1"/>
                <c:pt idx="0">
                  <c:v>Vihaan</c:v>
                </c:pt>
              </c:strCache>
            </c:strRef>
          </c:tx>
          <c:spPr>
            <a:solidFill>
              <a:schemeClr val="accent2"/>
            </a:solidFill>
            <a:ln>
              <a:noFill/>
            </a:ln>
            <a:effectLst/>
          </c:spPr>
          <c:invertIfNegative val="0"/>
          <c:cat>
            <c:strRef>
              <c:f>Sheet4!$B$1</c:f>
              <c:strCache>
                <c:ptCount val="1"/>
                <c:pt idx="0">
                  <c:v>Price per Unit</c:v>
                </c:pt>
              </c:strCache>
            </c:strRef>
          </c:cat>
          <c:val>
            <c:numRef>
              <c:f>Sheet4!$B$3</c:f>
              <c:numCache>
                <c:formatCode>General</c:formatCode>
                <c:ptCount val="1"/>
                <c:pt idx="0">
                  <c:v>3801.85</c:v>
                </c:pt>
              </c:numCache>
            </c:numRef>
          </c:val>
        </c:ser>
        <c:ser>
          <c:idx val="2"/>
          <c:order val="2"/>
          <c:tx>
            <c:strRef>
              <c:f>Sheet4!$A$4</c:f>
              <c:strCache>
                <c:ptCount val="1"/>
                <c:pt idx="0">
                  <c:v>Nishant</c:v>
                </c:pt>
              </c:strCache>
            </c:strRef>
          </c:tx>
          <c:spPr>
            <a:solidFill>
              <a:schemeClr val="accent3"/>
            </a:solidFill>
            <a:ln>
              <a:noFill/>
            </a:ln>
            <a:effectLst/>
          </c:spPr>
          <c:invertIfNegative val="0"/>
          <c:cat>
            <c:strRef>
              <c:f>Sheet4!$B$1</c:f>
              <c:strCache>
                <c:ptCount val="1"/>
                <c:pt idx="0">
                  <c:v>Price per Unit</c:v>
                </c:pt>
              </c:strCache>
            </c:strRef>
          </c:cat>
          <c:val>
            <c:numRef>
              <c:f>Sheet4!$B$4</c:f>
              <c:numCache>
                <c:formatCode>General</c:formatCode>
                <c:ptCount val="1"/>
                <c:pt idx="0">
                  <c:v>3594.07</c:v>
                </c:pt>
              </c:numCache>
            </c:numRef>
          </c:val>
        </c:ser>
        <c:ser>
          <c:idx val="3"/>
          <c:order val="3"/>
          <c:tx>
            <c:strRef>
              <c:f>Sheet4!$A$5</c:f>
              <c:strCache>
                <c:ptCount val="1"/>
                <c:pt idx="0">
                  <c:v>Vihaan</c:v>
                </c:pt>
              </c:strCache>
            </c:strRef>
          </c:tx>
          <c:spPr>
            <a:solidFill>
              <a:schemeClr val="accent4"/>
            </a:solidFill>
            <a:ln>
              <a:noFill/>
            </a:ln>
            <a:effectLst/>
          </c:spPr>
          <c:invertIfNegative val="0"/>
          <c:cat>
            <c:strRef>
              <c:f>Sheet4!$B$1</c:f>
              <c:strCache>
                <c:ptCount val="1"/>
                <c:pt idx="0">
                  <c:v>Price per Unit</c:v>
                </c:pt>
              </c:strCache>
            </c:strRef>
          </c:cat>
          <c:val>
            <c:numRef>
              <c:f>Sheet4!$B$5</c:f>
              <c:numCache>
                <c:formatCode>General</c:formatCode>
                <c:ptCount val="1"/>
                <c:pt idx="0">
                  <c:v>4487</c:v>
                </c:pt>
              </c:numCache>
            </c:numRef>
          </c:val>
        </c:ser>
        <c:ser>
          <c:idx val="4"/>
          <c:order val="4"/>
          <c:tx>
            <c:strRef>
              <c:f>Sheet4!$A$6</c:f>
              <c:strCache>
                <c:ptCount val="1"/>
                <c:pt idx="0">
                  <c:v>Aditi</c:v>
                </c:pt>
              </c:strCache>
            </c:strRef>
          </c:tx>
          <c:spPr>
            <a:solidFill>
              <a:schemeClr val="accent5"/>
            </a:solidFill>
            <a:ln>
              <a:noFill/>
            </a:ln>
            <a:effectLst/>
          </c:spPr>
          <c:invertIfNegative val="0"/>
          <c:cat>
            <c:strRef>
              <c:f>Sheet4!$B$1</c:f>
              <c:strCache>
                <c:ptCount val="1"/>
                <c:pt idx="0">
                  <c:v>Price per Unit</c:v>
                </c:pt>
              </c:strCache>
            </c:strRef>
          </c:cat>
          <c:val>
            <c:numRef>
              <c:f>Sheet4!$B$6</c:f>
              <c:numCache>
                <c:formatCode>General</c:formatCode>
                <c:ptCount val="1"/>
                <c:pt idx="0">
                  <c:v>1240.77</c:v>
                </c:pt>
              </c:numCache>
            </c:numRef>
          </c:val>
        </c:ser>
        <c:ser>
          <c:idx val="5"/>
          <c:order val="5"/>
          <c:tx>
            <c:strRef>
              <c:f>Sheet4!$A$7</c:f>
              <c:strCache>
                <c:ptCount val="1"/>
                <c:pt idx="0">
                  <c:v>Ishita</c:v>
                </c:pt>
              </c:strCache>
            </c:strRef>
          </c:tx>
          <c:spPr>
            <a:solidFill>
              <a:schemeClr val="accent6"/>
            </a:solidFill>
            <a:ln>
              <a:noFill/>
            </a:ln>
            <a:effectLst/>
          </c:spPr>
          <c:invertIfNegative val="0"/>
          <c:cat>
            <c:strRef>
              <c:f>Sheet4!$B$1</c:f>
              <c:strCache>
                <c:ptCount val="1"/>
                <c:pt idx="0">
                  <c:v>Price per Unit</c:v>
                </c:pt>
              </c:strCache>
            </c:strRef>
          </c:cat>
          <c:val>
            <c:numRef>
              <c:f>Sheet4!$B$7</c:f>
              <c:numCache>
                <c:formatCode>General</c:formatCode>
                <c:ptCount val="1"/>
                <c:pt idx="0">
                  <c:v>4772.29</c:v>
                </c:pt>
              </c:numCache>
            </c:numRef>
          </c:val>
        </c:ser>
        <c:ser>
          <c:idx val="6"/>
          <c:order val="6"/>
          <c:tx>
            <c:strRef>
              <c:f>Sheet4!$A$8</c:f>
              <c:strCache>
                <c:ptCount val="1"/>
                <c:pt idx="0">
                  <c:v>Aarav</c:v>
                </c:pt>
              </c:strCache>
            </c:strRef>
          </c:tx>
          <c:spPr>
            <a:solidFill>
              <a:schemeClr val="accent1">
                <a:lumMod val="60000"/>
              </a:schemeClr>
            </a:solidFill>
            <a:ln>
              <a:noFill/>
            </a:ln>
            <a:effectLst/>
          </c:spPr>
          <c:invertIfNegative val="0"/>
          <c:cat>
            <c:strRef>
              <c:f>Sheet4!$B$1</c:f>
              <c:strCache>
                <c:ptCount val="1"/>
                <c:pt idx="0">
                  <c:v>Price per Unit</c:v>
                </c:pt>
              </c:strCache>
            </c:strRef>
          </c:cat>
          <c:val>
            <c:numRef>
              <c:f>Sheet4!$B$8</c:f>
              <c:numCache>
                <c:formatCode>General</c:formatCode>
                <c:ptCount val="1"/>
                <c:pt idx="0">
                  <c:v>2196.9899999999998</c:v>
                </c:pt>
              </c:numCache>
            </c:numRef>
          </c:val>
        </c:ser>
        <c:ser>
          <c:idx val="7"/>
          <c:order val="7"/>
          <c:tx>
            <c:strRef>
              <c:f>Sheet4!$A$9</c:f>
              <c:strCache>
                <c:ptCount val="1"/>
                <c:pt idx="0">
                  <c:v>Riya</c:v>
                </c:pt>
              </c:strCache>
            </c:strRef>
          </c:tx>
          <c:spPr>
            <a:solidFill>
              <a:schemeClr val="accent2">
                <a:lumMod val="60000"/>
              </a:schemeClr>
            </a:solidFill>
            <a:ln>
              <a:noFill/>
            </a:ln>
            <a:effectLst/>
          </c:spPr>
          <c:invertIfNegative val="0"/>
          <c:cat>
            <c:strRef>
              <c:f>Sheet4!$B$1</c:f>
              <c:strCache>
                <c:ptCount val="1"/>
                <c:pt idx="0">
                  <c:v>Price per Unit</c:v>
                </c:pt>
              </c:strCache>
            </c:strRef>
          </c:cat>
          <c:val>
            <c:numRef>
              <c:f>Sheet4!$B$9</c:f>
              <c:numCache>
                <c:formatCode>General</c:formatCode>
                <c:ptCount val="1"/>
                <c:pt idx="0">
                  <c:v>967.6</c:v>
                </c:pt>
              </c:numCache>
            </c:numRef>
          </c:val>
        </c:ser>
        <c:ser>
          <c:idx val="8"/>
          <c:order val="8"/>
          <c:tx>
            <c:strRef>
              <c:f>Sheet4!$A$10</c:f>
              <c:strCache>
                <c:ptCount val="1"/>
                <c:pt idx="0">
                  <c:v>Vihaan</c:v>
                </c:pt>
              </c:strCache>
            </c:strRef>
          </c:tx>
          <c:spPr>
            <a:solidFill>
              <a:schemeClr val="accent3">
                <a:lumMod val="60000"/>
              </a:schemeClr>
            </a:solidFill>
            <a:ln>
              <a:noFill/>
            </a:ln>
            <a:effectLst/>
          </c:spPr>
          <c:invertIfNegative val="0"/>
          <c:cat>
            <c:strRef>
              <c:f>Sheet4!$B$1</c:f>
              <c:strCache>
                <c:ptCount val="1"/>
                <c:pt idx="0">
                  <c:v>Price per Unit</c:v>
                </c:pt>
              </c:strCache>
            </c:strRef>
          </c:cat>
          <c:val>
            <c:numRef>
              <c:f>Sheet4!$B$10</c:f>
              <c:numCache>
                <c:formatCode>General</c:formatCode>
                <c:ptCount val="1"/>
                <c:pt idx="0">
                  <c:v>3128.59</c:v>
                </c:pt>
              </c:numCache>
            </c:numRef>
          </c:val>
        </c:ser>
        <c:dLbls>
          <c:showLegendKey val="0"/>
          <c:showVal val="0"/>
          <c:showCatName val="0"/>
          <c:showSerName val="0"/>
          <c:showPercent val="0"/>
          <c:showBubbleSize val="0"/>
        </c:dLbls>
        <c:gapWidth val="182"/>
        <c:axId val="162740320"/>
        <c:axId val="162738688"/>
      </c:barChart>
      <c:catAx>
        <c:axId val="16274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8688"/>
        <c:crosses val="autoZero"/>
        <c:auto val="1"/>
        <c:lblAlgn val="ctr"/>
        <c:lblOffset val="100"/>
        <c:noMultiLvlLbl val="0"/>
      </c:catAx>
      <c:valAx>
        <c:axId val="16273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403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13</xdr:col>
      <xdr:colOff>261068</xdr:colOff>
      <xdr:row>8</xdr:row>
      <xdr:rowOff>90426</xdr:rowOff>
    </xdr:from>
    <xdr:to>
      <xdr:col>16</xdr:col>
      <xdr:colOff>261068</xdr:colOff>
      <xdr:row>20</xdr:row>
      <xdr:rowOff>108399</xdr:rowOff>
    </xdr:to>
    <mc:AlternateContent xmlns:mc="http://schemas.openxmlformats.org/markup-compatibility/2006" xmlns:sle15="http://schemas.microsoft.com/office/drawing/2012/slicer">
      <mc:Choice Requires="sle15">
        <xdr:graphicFrame macro="">
          <xdr:nvGraphicFramePr>
            <xdr:cNvPr id="4"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2087308" y="2902206"/>
              <a:ext cx="1828800" cy="247923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756698</xdr:colOff>
      <xdr:row>1</xdr:row>
      <xdr:rowOff>221291</xdr:rowOff>
    </xdr:from>
    <xdr:to>
      <xdr:col>13</xdr:col>
      <xdr:colOff>9938</xdr:colOff>
      <xdr:row>8</xdr:row>
      <xdr:rowOff>90840</xdr:rowOff>
    </xdr:to>
    <mc:AlternateContent xmlns:mc="http://schemas.openxmlformats.org/markup-compatibility/2006" xmlns:sle15="http://schemas.microsoft.com/office/drawing/2012/slicer">
      <mc:Choice Requires="sle15">
        <xdr:graphicFrame macro="">
          <xdr:nvGraphicFramePr>
            <xdr:cNvPr id="5"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000206" y="418515"/>
              <a:ext cx="1828800" cy="25051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484907</xdr:colOff>
      <xdr:row>12</xdr:row>
      <xdr:rowOff>96983</xdr:rowOff>
    </xdr:from>
    <xdr:to>
      <xdr:col>7</xdr:col>
      <xdr:colOff>484907</xdr:colOff>
      <xdr:row>26</xdr:row>
      <xdr:rowOff>68582</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4507" y="3830783"/>
          <a:ext cx="5052060" cy="2531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525780</xdr:colOff>
      <xdr:row>2</xdr:row>
      <xdr:rowOff>26670</xdr:rowOff>
    </xdr:from>
    <xdr:to>
      <xdr:col>12</xdr:col>
      <xdr:colOff>220980</xdr:colOff>
      <xdr:row>17</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510540</xdr:colOff>
      <xdr:row>4</xdr:row>
      <xdr:rowOff>45720</xdr:rowOff>
    </xdr:from>
    <xdr:to>
      <xdr:col>18</xdr:col>
      <xdr:colOff>510540</xdr:colOff>
      <xdr:row>17</xdr:row>
      <xdr:rowOff>135255</xdr:rowOff>
    </xdr:to>
    <mc:AlternateContent xmlns:mc="http://schemas.openxmlformats.org/markup-compatibility/2006" xmlns:a14="http://schemas.microsoft.com/office/drawing/2010/main">
      <mc:Choice Requires="a14">
        <xdr:graphicFrame macro="">
          <xdr:nvGraphicFramePr>
            <xdr:cNvPr id="3" name="Sr No."/>
            <xdr:cNvGraphicFramePr/>
          </xdr:nvGraphicFramePr>
          <xdr:xfrm>
            <a:off x="0" y="0"/>
            <a:ext cx="0" cy="0"/>
          </xdr:xfrm>
          <a:graphic>
            <a:graphicData uri="http://schemas.microsoft.com/office/drawing/2010/slicer">
              <sle:slicer xmlns:sle="http://schemas.microsoft.com/office/drawing/2010/slicer" name="Sr No."/>
            </a:graphicData>
          </a:graphic>
        </xdr:graphicFrame>
      </mc:Choice>
      <mc:Fallback xmlns="">
        <xdr:sp macro="" textlink="">
          <xdr:nvSpPr>
            <xdr:cNvPr id="0" name=""/>
            <xdr:cNvSpPr>
              <a:spLocks noTextEdit="1"/>
            </xdr:cNvSpPr>
          </xdr:nvSpPr>
          <xdr:spPr>
            <a:xfrm>
              <a:off x="10172700" y="777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4</xdr:row>
      <xdr:rowOff>38100</xdr:rowOff>
    </xdr:from>
    <xdr:to>
      <xdr:col>15</xdr:col>
      <xdr:colOff>9596</xdr:colOff>
      <xdr:row>15</xdr:row>
      <xdr:rowOff>129540</xdr:rowOff>
    </xdr:to>
    <mc:AlternateContent xmlns:mc="http://schemas.openxmlformats.org/markup-compatibility/2006">
      <mc:Choice xmlns:a14="http://schemas.microsoft.com/office/drawing/2010/main" Requires="a14">
        <xdr:graphicFrame macro="">
          <xdr:nvGraphicFramePr>
            <xdr:cNvPr id="4" name="name 6"/>
            <xdr:cNvGraphicFramePr/>
          </xdr:nvGraphicFramePr>
          <xdr:xfrm>
            <a:off x="0" y="0"/>
            <a:ext cx="0" cy="0"/>
          </xdr:xfrm>
          <a:graphic>
            <a:graphicData uri="http://schemas.microsoft.com/office/drawing/2010/slicer">
              <sle:slicer xmlns:sle="http://schemas.microsoft.com/office/drawing/2010/slicer" name="name 6"/>
            </a:graphicData>
          </a:graphic>
        </xdr:graphicFrame>
      </mc:Choice>
      <mc:Fallback>
        <xdr:sp macro="" textlink="">
          <xdr:nvSpPr>
            <xdr:cNvPr id="0" name=""/>
            <xdr:cNvSpPr>
              <a:spLocks noTextEdit="1"/>
            </xdr:cNvSpPr>
          </xdr:nvSpPr>
          <xdr:spPr>
            <a:xfrm>
              <a:off x="8244840" y="769620"/>
              <a:ext cx="1426916"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561974</xdr:colOff>
      <xdr:row>0</xdr:row>
      <xdr:rowOff>0</xdr:rowOff>
    </xdr:from>
    <xdr:to>
      <xdr:col>8</xdr:col>
      <xdr:colOff>609599</xdr:colOff>
      <xdr:row>9</xdr:row>
      <xdr:rowOff>88106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42863</xdr:colOff>
      <xdr:row>0</xdr:row>
      <xdr:rowOff>23812</xdr:rowOff>
    </xdr:from>
    <xdr:to>
      <xdr:col>13</xdr:col>
      <xdr:colOff>109538</xdr:colOff>
      <xdr:row>10</xdr:row>
      <xdr:rowOff>35717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581027</xdr:colOff>
      <xdr:row>10</xdr:row>
      <xdr:rowOff>52387</xdr:rowOff>
    </xdr:from>
    <xdr:to>
      <xdr:col>7</xdr:col>
      <xdr:colOff>28575</xdr:colOff>
      <xdr:row>19</xdr:row>
      <xdr:rowOff>166688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400050</xdr:colOff>
      <xdr:row>10</xdr:row>
      <xdr:rowOff>128588</xdr:rowOff>
    </xdr:from>
    <xdr:to>
      <xdr:col>13</xdr:col>
      <xdr:colOff>219075</xdr:colOff>
      <xdr:row>21</xdr:row>
      <xdr:rowOff>107155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SH" refreshedDate="46051.026798263891" createdVersion="5" refreshedVersion="5" minRefreshableVersion="3" recordCount="9">
  <cacheSource type="worksheet">
    <worksheetSource ref="B37:D46" sheet="Sheet4"/>
  </cacheSource>
  <cacheFields count="3">
    <cacheField name="Sr No." numFmtId="0">
      <sharedItems containsSemiMixedTypes="0" containsString="0" containsNumber="1" containsInteger="1" minValue="1" maxValue="9" count="9">
        <n v="1"/>
        <n v="2"/>
        <n v="3"/>
        <n v="4"/>
        <n v="5"/>
        <n v="6"/>
        <n v="7"/>
        <n v="8"/>
        <n v="9"/>
      </sharedItems>
    </cacheField>
    <cacheField name="name" numFmtId="0">
      <sharedItems count="7">
        <s v="Meera"/>
        <s v="Vihaan"/>
        <s v="Nishant"/>
        <s v="Aditi"/>
        <s v="Ishita"/>
        <s v="Aarav"/>
        <s v="Riya"/>
      </sharedItems>
    </cacheField>
    <cacheField name="State" numFmtId="0">
      <sharedItems count="4">
        <s v="Maharashtra"/>
        <s v="Tamil Nadu"/>
        <s v="Karnataka"/>
        <s v="Gujara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
  <r>
    <x v="0"/>
    <x v="0"/>
    <x v="0"/>
  </r>
  <r>
    <x v="1"/>
    <x v="1"/>
    <x v="1"/>
  </r>
  <r>
    <x v="2"/>
    <x v="2"/>
    <x v="2"/>
  </r>
  <r>
    <x v="3"/>
    <x v="1"/>
    <x v="1"/>
  </r>
  <r>
    <x v="4"/>
    <x v="3"/>
    <x v="0"/>
  </r>
  <r>
    <x v="5"/>
    <x v="4"/>
    <x v="1"/>
  </r>
  <r>
    <x v="6"/>
    <x v="5"/>
    <x v="2"/>
  </r>
  <r>
    <x v="7"/>
    <x v="6"/>
    <x v="3"/>
  </r>
  <r>
    <x v="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
  <location ref="A3:C10" firstHeaderRow="0" firstDataRow="1" firstDataCol="1"/>
  <pivotFields count="3">
    <pivotField dataField="1" compact="0" outline="0" showAll="0" defaultSubtotal="0">
      <items count="9">
        <item x="0"/>
        <item x="1"/>
        <item x="2"/>
        <item x="3"/>
        <item x="4"/>
        <item x="5"/>
        <item x="6"/>
        <item x="7"/>
        <item x="8"/>
      </items>
      <extLst>
        <ext xmlns:x14="http://schemas.microsoft.com/office/spreadsheetml/2009/9/main" uri="{2946ED86-A175-432a-8AC1-64E0C546D7DE}">
          <x14:pivotField fillDownLabels="1"/>
        </ext>
      </extLst>
    </pivotField>
    <pivotField axis="axisRow" dataField="1" compact="0" outline="0" showAll="0" defaultSubtotal="0">
      <items count="7">
        <item x="5"/>
        <item x="3"/>
        <item x="4"/>
        <item x="0"/>
        <item x="2"/>
        <item x="6"/>
        <item x="1"/>
      </items>
      <extLst>
        <ext xmlns:x14="http://schemas.microsoft.com/office/spreadsheetml/2009/9/main" uri="{2946ED86-A175-432a-8AC1-64E0C546D7DE}">
          <x14:pivotField fillDownLabels="1"/>
        </ext>
      </extLst>
    </pivotField>
    <pivotField compact="0" outline="0" showAll="0" defaultSubtotal="0">
      <items count="4">
        <item x="3"/>
        <item x="2"/>
        <item x="0"/>
        <item x="1"/>
      </items>
      <extLst>
        <ext xmlns:x14="http://schemas.microsoft.com/office/spreadsheetml/2009/9/main" uri="{2946ED86-A175-432a-8AC1-64E0C546D7DE}">
          <x14:pivotField fillDownLabels="1"/>
        </ext>
      </extLst>
    </pivotField>
  </pivotFields>
  <rowFields count="1">
    <field x="1"/>
  </rowFields>
  <rowItems count="7">
    <i>
      <x/>
    </i>
    <i>
      <x v="1"/>
    </i>
    <i>
      <x v="2"/>
    </i>
    <i>
      <x v="3"/>
    </i>
    <i>
      <x v="4"/>
    </i>
    <i>
      <x v="5"/>
    </i>
    <i>
      <x v="6"/>
    </i>
  </rowItems>
  <colFields count="1">
    <field x="-2"/>
  </colFields>
  <colItems count="2">
    <i>
      <x/>
    </i>
    <i i="1">
      <x v="1"/>
    </i>
  </colItems>
  <dataFields count="2">
    <dataField name="Count of name" fld="1" subtotal="count" baseField="0" baseItem="0"/>
    <dataField name="Sum of Sr No." fld="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r_No." sourceName="Sr No.">
  <pivotTables>
    <pivotTable tabId="5" name="PivotTable4"/>
  </pivotTables>
  <data>
    <tabular pivotCacheId="1">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ame1" sourceName="name">
  <pivotTables>
    <pivotTable tabId="5" name="PivotTable4"/>
  </pivotTables>
  <data>
    <tabular pivotCacheId="1">
      <items count="7">
        <i x="5" s="1"/>
        <i x="3" s="1"/>
        <i x="4" s="1"/>
        <i x="0" s="1"/>
        <i x="2"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ame" sourceName="name">
  <extLst>
    <x:ext xmlns:x15="http://schemas.microsoft.com/office/spreadsheetml/2010/11/main" uri="{2F2917AC-EB37-4324-AD4E-5DD8C200BD13}">
      <x15:tableSlicerCache tableId="5"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34950"/>
  <slicer name="State"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r No." cache="Slicer_Sr_No." caption="Sr No." rowHeight="234950"/>
  <slicer name="name 6" cache="Slicer_name1" caption="name" rowHeight="234950"/>
</slicers>
</file>

<file path=xl/tables/table1.xml><?xml version="1.0" encoding="utf-8"?>
<table xmlns="http://schemas.openxmlformats.org/spreadsheetml/2006/main" id="3" name="Table3" displayName="Table3" ref="L6:M7" totalsRowShown="0">
  <autoFilter ref="L6:M7"/>
  <tableColumns count="2">
    <tableColumn id="1" name="name"/>
    <tableColumn id="2" name="salary">
      <calculatedColumnFormula>VLOOKUP(L7,C2:I15,7,FALSE)</calculatedColumnFormula>
    </tableColumn>
  </tableColumns>
  <tableStyleInfo name="TableStyleMedium1" showFirstColumn="0" showLastColumn="0" showRowStripes="1" showColumnStripes="0"/>
</table>
</file>

<file path=xl/tables/table2.xml><?xml version="1.0" encoding="utf-8"?>
<table xmlns="http://schemas.openxmlformats.org/spreadsheetml/2006/main" id="4" name="Table4" displayName="Table4" ref="L10:M11" totalsRowShown="0">
  <autoFilter ref="L10:M11"/>
  <tableColumns count="2">
    <tableColumn id="1" name="index +  match" dataDxfId="10"/>
    <tableColumn id="2" name="match">
      <calculatedColumnFormula>INDEX(B2:B15,(MATCH(L11,I2:I17,0)))</calculatedColumnFormula>
    </tableColumn>
  </tableColumns>
  <tableStyleInfo name="TableStyleMedium5" showFirstColumn="0" showLastColumn="0" showRowStripes="1" showColumnStripes="0"/>
</table>
</file>

<file path=xl/tables/table3.xml><?xml version="1.0" encoding="utf-8"?>
<table xmlns="http://schemas.openxmlformats.org/spreadsheetml/2006/main" id="5" name="Table5" displayName="Table5" ref="A1:I10" totalsRowShown="0" headerRowDxfId="9" tableBorderDxfId="8">
  <autoFilter ref="A1:I10"/>
  <tableColumns count="9">
    <tableColumn id="1" name="Sr No." dataCellStyle="Bad"/>
    <tableColumn id="2" name="name" dataDxfId="7" dataCellStyle="Bad"/>
    <tableColumn id="3" name="State" dataDxfId="6" dataCellStyle="Bad"/>
    <tableColumn id="4" name="Region" dataDxfId="5" dataCellStyle="Bad"/>
    <tableColumn id="5" name="Product Category" dataDxfId="4" dataCellStyle="Bad"/>
    <tableColumn id="6" name="Product Name" dataDxfId="3" dataCellStyle="Bad"/>
    <tableColumn id="7" name="Quantity" dataDxfId="2" dataCellStyle="Bad"/>
    <tableColumn id="8" name="Price per Unit" dataDxfId="1" dataCellStyle="Bad"/>
    <tableColumn id="9" name="Sales Amount" dataDxfId="0" dataCellStyle="Bad"/>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bvdsvbdsyhu@bcjkdsv" TargetMode="External"/><Relationship Id="rId13" Type="http://schemas.openxmlformats.org/officeDocument/2006/relationships/table" Target="../tables/table3.xml"/><Relationship Id="rId3" Type="http://schemas.openxmlformats.org/officeDocument/2006/relationships/hyperlink" Target="mailto:bvdsvbdsyhu@bcjkdsv" TargetMode="External"/><Relationship Id="rId7" Type="http://schemas.openxmlformats.org/officeDocument/2006/relationships/hyperlink" Target="mailto:csvych@bki" TargetMode="External"/><Relationship Id="rId12" Type="http://schemas.openxmlformats.org/officeDocument/2006/relationships/drawing" Target="../drawings/drawing1.xml"/><Relationship Id="rId2" Type="http://schemas.openxmlformats.org/officeDocument/2006/relationships/hyperlink" Target="mailto:csvych@bki" TargetMode="External"/><Relationship Id="rId1" Type="http://schemas.openxmlformats.org/officeDocument/2006/relationships/hyperlink" Target="mailto:cdbvcy@b%20ucid" TargetMode="External"/><Relationship Id="rId6" Type="http://schemas.openxmlformats.org/officeDocument/2006/relationships/hyperlink" Target="mailto:cdbvcy@b%20ucid" TargetMode="External"/><Relationship Id="rId11" Type="http://schemas.openxmlformats.org/officeDocument/2006/relationships/printerSettings" Target="../printerSettings/printerSettings2.bin"/><Relationship Id="rId5" Type="http://schemas.openxmlformats.org/officeDocument/2006/relationships/hyperlink" Target="mailto:vgvu@vgjbk" TargetMode="External"/><Relationship Id="rId10" Type="http://schemas.openxmlformats.org/officeDocument/2006/relationships/hyperlink" Target="mailto:vgvu@vgjbk" TargetMode="External"/><Relationship Id="rId4" Type="http://schemas.openxmlformats.org/officeDocument/2006/relationships/hyperlink" Target="mailto:cvdsyuv@bhcvds" TargetMode="External"/><Relationship Id="rId9" Type="http://schemas.openxmlformats.org/officeDocument/2006/relationships/hyperlink" Target="mailto:cvdsyuv@bhcvds" TargetMode="Externa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zoomScaleNormal="100" workbookViewId="0">
      <selection activeCell="K7" sqref="K7"/>
    </sheetView>
  </sheetViews>
  <sheetFormatPr defaultRowHeight="14.4"/>
  <cols>
    <col min="2" max="2" width="12.88671875" bestFit="1" customWidth="1"/>
    <col min="3" max="3" width="12.21875" bestFit="1" customWidth="1"/>
    <col min="5" max="5" width="18.21875" bestFit="1" customWidth="1"/>
    <col min="6" max="6" width="14.88671875" bestFit="1" customWidth="1"/>
    <col min="7" max="7" width="20.21875" bestFit="1" customWidth="1"/>
    <col min="8" max="8" width="13.109375" customWidth="1"/>
    <col min="9" max="9" width="14.6640625" bestFit="1" customWidth="1"/>
    <col min="11" max="11" width="11.21875" bestFit="1" customWidth="1"/>
    <col min="12" max="12" width="15.5546875" bestFit="1" customWidth="1"/>
    <col min="13" max="13" width="8.5546875" bestFit="1" customWidth="1"/>
  </cols>
  <sheetData>
    <row r="1" spans="1:15" ht="28.2" thickBot="1">
      <c r="A1" t="s">
        <v>0</v>
      </c>
      <c r="B1" t="s">
        <v>1</v>
      </c>
      <c r="C1" s="2" t="s">
        <v>11</v>
      </c>
      <c r="D1" s="2" t="s">
        <v>16</v>
      </c>
      <c r="E1" s="2" t="s">
        <v>19</v>
      </c>
      <c r="F1" s="2" t="s">
        <v>20</v>
      </c>
      <c r="G1" s="2" t="s">
        <v>21</v>
      </c>
      <c r="H1" s="2" t="s">
        <v>36</v>
      </c>
      <c r="I1" s="2" t="s">
        <v>37</v>
      </c>
      <c r="K1" s="9"/>
      <c r="L1" s="8" t="s">
        <v>45</v>
      </c>
    </row>
    <row r="2" spans="1:15" ht="15" thickBot="1">
      <c r="A2">
        <v>1</v>
      </c>
      <c r="B2" s="1" t="s">
        <v>2</v>
      </c>
      <c r="C2" s="1" t="s">
        <v>12</v>
      </c>
      <c r="D2" s="1" t="s">
        <v>17</v>
      </c>
      <c r="E2" s="1" t="s">
        <v>22</v>
      </c>
      <c r="F2" s="1" t="s">
        <v>23</v>
      </c>
      <c r="G2" s="3">
        <v>6</v>
      </c>
      <c r="H2" s="3">
        <v>4016.25</v>
      </c>
      <c r="I2" s="3">
        <v>24097.5</v>
      </c>
      <c r="J2">
        <f>COUNTIF(B1:B16,B2)</f>
        <v>1</v>
      </c>
      <c r="K2" s="33" t="s">
        <v>81</v>
      </c>
    </row>
    <row r="3" spans="1:15" ht="15" thickBot="1">
      <c r="A3">
        <v>2</v>
      </c>
      <c r="B3" s="1" t="s">
        <v>3</v>
      </c>
      <c r="C3" s="1" t="s">
        <v>13</v>
      </c>
      <c r="D3" s="1" t="s">
        <v>18</v>
      </c>
      <c r="E3" s="1" t="s">
        <v>24</v>
      </c>
      <c r="F3" s="1" t="s">
        <v>25</v>
      </c>
      <c r="G3" s="3">
        <v>9</v>
      </c>
      <c r="H3" s="3">
        <v>3801.85</v>
      </c>
      <c r="I3" s="3">
        <v>34216.65</v>
      </c>
      <c r="J3">
        <f>SUMIF(B1:B16,B2,I1:I17)</f>
        <v>24097.5</v>
      </c>
      <c r="K3" s="33" t="s">
        <v>80</v>
      </c>
      <c r="L3" s="6" t="s">
        <v>38</v>
      </c>
      <c r="M3" s="6" t="s">
        <v>39</v>
      </c>
    </row>
    <row r="4" spans="1:15" ht="15" thickBot="1">
      <c r="A4">
        <v>3</v>
      </c>
      <c r="B4" s="1" t="s">
        <v>4</v>
      </c>
      <c r="C4" s="1" t="s">
        <v>14</v>
      </c>
      <c r="D4" s="1" t="s">
        <v>18</v>
      </c>
      <c r="E4" s="1" t="s">
        <v>24</v>
      </c>
      <c r="F4" s="1" t="s">
        <v>25</v>
      </c>
      <c r="G4" s="3">
        <v>11</v>
      </c>
      <c r="H4" s="3">
        <v>3594.07</v>
      </c>
      <c r="I4" s="3">
        <v>39534.769999999997</v>
      </c>
      <c r="L4" s="5">
        <v>1</v>
      </c>
      <c r="M4" s="4">
        <f>VLOOKUP(L4,A2:I17,9,FALSE)</f>
        <v>24097.5</v>
      </c>
    </row>
    <row r="5" spans="1:15" ht="15" thickBot="1">
      <c r="A5">
        <v>4</v>
      </c>
      <c r="B5" s="1" t="s">
        <v>3</v>
      </c>
      <c r="C5" s="1" t="s">
        <v>13</v>
      </c>
      <c r="D5" s="1" t="s">
        <v>18</v>
      </c>
      <c r="E5" s="1" t="s">
        <v>26</v>
      </c>
      <c r="F5" s="1" t="s">
        <v>27</v>
      </c>
      <c r="G5" s="3">
        <v>9</v>
      </c>
      <c r="H5" s="3">
        <v>4487</v>
      </c>
      <c r="I5" s="3">
        <v>40383</v>
      </c>
    </row>
    <row r="6" spans="1:15" ht="15.6" thickTop="1" thickBot="1">
      <c r="A6">
        <v>5</v>
      </c>
      <c r="B6" s="1" t="s">
        <v>5</v>
      </c>
      <c r="C6" s="1" t="s">
        <v>12</v>
      </c>
      <c r="D6" s="1" t="s">
        <v>17</v>
      </c>
      <c r="E6" s="1" t="s">
        <v>28</v>
      </c>
      <c r="F6" s="1" t="s">
        <v>29</v>
      </c>
      <c r="G6" s="3">
        <v>17</v>
      </c>
      <c r="H6" s="3">
        <v>1240.77</v>
      </c>
      <c r="I6" s="3">
        <v>21093.09</v>
      </c>
      <c r="L6" t="s">
        <v>1</v>
      </c>
      <c r="M6" t="s">
        <v>39</v>
      </c>
      <c r="O6" s="7" t="s">
        <v>44</v>
      </c>
    </row>
    <row r="7" spans="1:15" ht="15" thickBot="1">
      <c r="A7">
        <v>6</v>
      </c>
      <c r="B7" s="1" t="s">
        <v>6</v>
      </c>
      <c r="C7" s="1" t="s">
        <v>13</v>
      </c>
      <c r="D7" s="1" t="s">
        <v>18</v>
      </c>
      <c r="E7" s="1" t="s">
        <v>24</v>
      </c>
      <c r="F7" s="1" t="s">
        <v>30</v>
      </c>
      <c r="G7" s="3">
        <v>7</v>
      </c>
      <c r="H7" s="3">
        <v>4772.29</v>
      </c>
      <c r="I7" s="3">
        <v>33406.03</v>
      </c>
      <c r="L7" t="s">
        <v>12</v>
      </c>
      <c r="M7">
        <f>VLOOKUP(L7,C2:I15,7,FALSE)</f>
        <v>24097.5</v>
      </c>
    </row>
    <row r="8" spans="1:15" ht="15" thickBot="1">
      <c r="A8">
        <v>7</v>
      </c>
      <c r="B8" s="1" t="s">
        <v>7</v>
      </c>
      <c r="C8" s="1" t="s">
        <v>14</v>
      </c>
      <c r="D8" s="1" t="s">
        <v>18</v>
      </c>
      <c r="E8" s="1" t="s">
        <v>31</v>
      </c>
      <c r="F8" s="1" t="s">
        <v>32</v>
      </c>
      <c r="G8" s="3">
        <v>5</v>
      </c>
      <c r="H8" s="3">
        <v>2196.9899999999998</v>
      </c>
      <c r="I8" s="3">
        <v>10984.95</v>
      </c>
    </row>
    <row r="9" spans="1:15" ht="15" thickBot="1">
      <c r="A9">
        <v>8</v>
      </c>
      <c r="B9" s="1" t="s">
        <v>8</v>
      </c>
      <c r="C9" s="1" t="s">
        <v>15</v>
      </c>
      <c r="D9" s="1" t="s">
        <v>17</v>
      </c>
      <c r="E9" s="1" t="s">
        <v>26</v>
      </c>
      <c r="F9" s="1" t="s">
        <v>27</v>
      </c>
      <c r="G9" s="3">
        <v>5</v>
      </c>
      <c r="H9" s="3">
        <v>967.6</v>
      </c>
      <c r="I9" s="3">
        <v>4838</v>
      </c>
    </row>
    <row r="10" spans="1:15" ht="15.6" thickTop="1" thickBot="1">
      <c r="A10">
        <v>9</v>
      </c>
      <c r="B10" s="1" t="s">
        <v>3</v>
      </c>
      <c r="C10" s="1" t="s">
        <v>13</v>
      </c>
      <c r="D10" s="1" t="s">
        <v>18</v>
      </c>
      <c r="E10" s="1" t="s">
        <v>24</v>
      </c>
      <c r="F10" s="1" t="s">
        <v>25</v>
      </c>
      <c r="G10" s="3">
        <v>18</v>
      </c>
      <c r="H10" s="3">
        <v>3128.59</v>
      </c>
      <c r="I10" s="3">
        <v>56314.62</v>
      </c>
      <c r="L10" t="s">
        <v>42</v>
      </c>
      <c r="M10" t="s">
        <v>41</v>
      </c>
      <c r="O10" s="7" t="s">
        <v>43</v>
      </c>
    </row>
    <row r="11" spans="1:15" ht="15" thickBot="1">
      <c r="A11">
        <v>10</v>
      </c>
      <c r="B11" s="1" t="s">
        <v>4</v>
      </c>
      <c r="C11" s="1" t="s">
        <v>13</v>
      </c>
      <c r="D11" s="1" t="s">
        <v>18</v>
      </c>
      <c r="E11" s="1" t="s">
        <v>22</v>
      </c>
      <c r="F11" s="1" t="s">
        <v>23</v>
      </c>
      <c r="G11" s="3">
        <v>10</v>
      </c>
      <c r="H11" s="3">
        <v>2754.3</v>
      </c>
      <c r="I11" s="3">
        <v>27543</v>
      </c>
      <c r="L11" s="3">
        <v>27543</v>
      </c>
      <c r="M11" t="str">
        <f>INDEX(B2:B15,(MATCH(L11,I2:I17,0)))</f>
        <v>Nishant</v>
      </c>
    </row>
    <row r="12" spans="1:15" ht="15" thickBot="1">
      <c r="A12">
        <v>11</v>
      </c>
      <c r="B12" s="1" t="s">
        <v>3</v>
      </c>
      <c r="C12" s="1" t="s">
        <v>15</v>
      </c>
      <c r="D12" s="1" t="s">
        <v>17</v>
      </c>
      <c r="E12" s="1" t="s">
        <v>31</v>
      </c>
      <c r="F12" s="1" t="s">
        <v>33</v>
      </c>
      <c r="G12" s="3">
        <v>19</v>
      </c>
      <c r="H12" s="3">
        <v>4896.3100000000004</v>
      </c>
      <c r="I12" s="3">
        <v>93029.89</v>
      </c>
    </row>
    <row r="13" spans="1:15" ht="15" thickBot="1">
      <c r="A13">
        <v>12</v>
      </c>
      <c r="B13" s="1" t="s">
        <v>7</v>
      </c>
      <c r="C13" s="1" t="s">
        <v>14</v>
      </c>
      <c r="D13" s="1" t="s">
        <v>18</v>
      </c>
      <c r="E13" s="1" t="s">
        <v>26</v>
      </c>
      <c r="F13" s="1" t="s">
        <v>34</v>
      </c>
      <c r="G13" s="3">
        <v>19</v>
      </c>
      <c r="H13" s="3">
        <v>4562.0200000000004</v>
      </c>
      <c r="I13" s="3">
        <v>86678.38</v>
      </c>
    </row>
    <row r="14" spans="1:15" ht="15" thickBot="1">
      <c r="A14">
        <v>13</v>
      </c>
      <c r="B14" s="1" t="s">
        <v>6</v>
      </c>
      <c r="C14" s="1" t="s">
        <v>12</v>
      </c>
      <c r="D14" s="1" t="s">
        <v>17</v>
      </c>
      <c r="E14" s="1" t="s">
        <v>24</v>
      </c>
      <c r="F14" s="1" t="s">
        <v>30</v>
      </c>
      <c r="G14" s="3">
        <v>6</v>
      </c>
      <c r="H14" s="3">
        <v>4231.7700000000004</v>
      </c>
      <c r="I14" s="3">
        <v>25390.62</v>
      </c>
      <c r="L14" t="s">
        <v>40</v>
      </c>
      <c r="N14" s="32" t="s">
        <v>79</v>
      </c>
      <c r="O14">
        <f>MATCH(B16,B1:B16,)</f>
        <v>16</v>
      </c>
    </row>
    <row r="15" spans="1:15" ht="15" thickBot="1">
      <c r="A15">
        <v>14</v>
      </c>
      <c r="B15" s="1" t="s">
        <v>9</v>
      </c>
      <c r="C15" s="1" t="s">
        <v>15</v>
      </c>
      <c r="D15" s="1" t="s">
        <v>17</v>
      </c>
      <c r="E15" s="1" t="s">
        <v>26</v>
      </c>
      <c r="F15" s="1" t="s">
        <v>35</v>
      </c>
      <c r="G15" s="3">
        <v>20</v>
      </c>
      <c r="H15" s="3">
        <v>1027.53</v>
      </c>
      <c r="I15" s="3">
        <v>20550.599999999999</v>
      </c>
      <c r="L15" t="e">
        <f>INDEX(B2:B15,Table4[match])</f>
        <v>#VALUE!</v>
      </c>
      <c r="O15">
        <f>MATCH(B2,B1:B16,0)</f>
        <v>2</v>
      </c>
    </row>
    <row r="16" spans="1:15" ht="15" thickBot="1">
      <c r="A16">
        <v>15</v>
      </c>
      <c r="B16" s="1" t="s">
        <v>10</v>
      </c>
      <c r="C16" s="14"/>
      <c r="D16" s="1" t="s">
        <v>17</v>
      </c>
      <c r="E16" s="1" t="s">
        <v>26</v>
      </c>
      <c r="F16" s="1" t="s">
        <v>34</v>
      </c>
      <c r="G16" s="3">
        <v>7</v>
      </c>
      <c r="H16" s="3">
        <v>1257.3399999999999</v>
      </c>
      <c r="I16" s="3">
        <v>8801.3799999999992</v>
      </c>
    </row>
    <row r="17" spans="1:18" ht="15" thickBot="1">
      <c r="B17" s="14"/>
      <c r="C17" s="14"/>
      <c r="D17" s="14"/>
      <c r="E17" s="1" t="s">
        <v>26</v>
      </c>
      <c r="F17" s="1" t="s">
        <v>35</v>
      </c>
      <c r="G17" s="3">
        <v>9</v>
      </c>
      <c r="H17" s="3">
        <v>2634.14</v>
      </c>
      <c r="I17" s="3">
        <v>23707.26</v>
      </c>
      <c r="K17" s="10" t="s">
        <v>46</v>
      </c>
      <c r="L17" s="1" t="s">
        <v>9</v>
      </c>
      <c r="M17">
        <f>VLOOKUP(L17,B2:I15,8,)</f>
        <v>20550.599999999999</v>
      </c>
    </row>
    <row r="19" spans="1:18" s="15" customFormat="1">
      <c r="A19" s="35" t="s">
        <v>51</v>
      </c>
      <c r="B19" s="35"/>
      <c r="C19" s="35"/>
      <c r="D19" s="35"/>
      <c r="E19" s="35"/>
      <c r="F19" s="35"/>
      <c r="G19" s="35"/>
      <c r="H19" s="35"/>
      <c r="I19" s="35"/>
      <c r="J19" s="35"/>
      <c r="K19" s="35"/>
      <c r="L19" s="35"/>
      <c r="M19" s="35"/>
      <c r="N19" s="35"/>
      <c r="O19" s="35"/>
      <c r="P19" s="35"/>
      <c r="Q19" s="35"/>
      <c r="R19" s="35"/>
    </row>
    <row r="20" spans="1:18" s="15" customFormat="1" ht="15" thickBot="1">
      <c r="A20" s="36"/>
      <c r="B20" s="36"/>
      <c r="C20" s="36"/>
      <c r="D20" s="36"/>
      <c r="E20" s="36"/>
      <c r="F20" s="36"/>
      <c r="G20" s="36"/>
      <c r="H20" s="36"/>
      <c r="I20" s="36"/>
      <c r="J20" s="36"/>
      <c r="K20" s="36"/>
      <c r="L20" s="36"/>
      <c r="M20" s="36"/>
      <c r="N20" s="36"/>
      <c r="O20" s="36"/>
      <c r="P20" s="36"/>
      <c r="Q20" s="36"/>
      <c r="R20" s="36"/>
    </row>
    <row r="21" spans="1:18" ht="21">
      <c r="B21" s="11" t="s">
        <v>49</v>
      </c>
      <c r="E21" s="16" t="s">
        <v>47</v>
      </c>
      <c r="F21" s="17" t="s">
        <v>48</v>
      </c>
      <c r="G21" s="18" t="s">
        <v>50</v>
      </c>
      <c r="I21" s="19">
        <f ca="1">NOW()</f>
        <v>46051.03423125</v>
      </c>
      <c r="K21">
        <f ca="1">DAY(I21)</f>
        <v>29</v>
      </c>
    </row>
    <row r="22" spans="1:18">
      <c r="E22" s="12">
        <f t="shared" ref="E22:E37" si="0">SUM(H2,I2)</f>
        <v>28113.75</v>
      </c>
      <c r="F22" s="13">
        <f t="shared" ref="F22:F37" si="1">AVERAGE(H2:I2)</f>
        <v>14056.875</v>
      </c>
      <c r="G22" s="12" t="str">
        <f t="shared" ref="G22:G37" si="2">CONCATENATE(E2," ",F2)</f>
        <v>Furniture Table</v>
      </c>
      <c r="I22" s="20">
        <f ca="1">NOW()</f>
        <v>46051.03423125</v>
      </c>
      <c r="K22">
        <f ca="1">YEAR(I21)</f>
        <v>2026</v>
      </c>
    </row>
    <row r="23" spans="1:18">
      <c r="E23" s="12">
        <f t="shared" si="0"/>
        <v>38018.5</v>
      </c>
      <c r="F23" s="13">
        <f t="shared" si="1"/>
        <v>19009.25</v>
      </c>
      <c r="G23" s="12" t="str">
        <f t="shared" si="2"/>
        <v>Stationery Ruler</v>
      </c>
      <c r="K23">
        <f ca="1">MONTH(I21)</f>
        <v>1</v>
      </c>
    </row>
    <row r="24" spans="1:18">
      <c r="E24" s="12">
        <f t="shared" si="0"/>
        <v>43128.84</v>
      </c>
      <c r="F24" s="13">
        <f t="shared" si="1"/>
        <v>21564.42</v>
      </c>
      <c r="G24" s="12" t="str">
        <f t="shared" si="2"/>
        <v>Stationery Ruler</v>
      </c>
      <c r="K24">
        <f ca="1">HOUR(I21)</f>
        <v>0</v>
      </c>
    </row>
    <row r="25" spans="1:18">
      <c r="E25" s="12">
        <f t="shared" si="0"/>
        <v>44870</v>
      </c>
      <c r="F25" s="13">
        <f t="shared" si="1"/>
        <v>22435</v>
      </c>
      <c r="G25" s="12" t="str">
        <f t="shared" si="2"/>
        <v>Clothing Dress</v>
      </c>
      <c r="K25">
        <f ca="1">SECOND(I21)</f>
        <v>18</v>
      </c>
    </row>
    <row r="26" spans="1:18">
      <c r="E26" s="12">
        <f t="shared" si="0"/>
        <v>22333.86</v>
      </c>
      <c r="F26" s="13">
        <f t="shared" si="1"/>
        <v>11166.93</v>
      </c>
      <c r="G26" s="12" t="str">
        <f t="shared" si="2"/>
        <v>Groceries Lentils</v>
      </c>
      <c r="K26">
        <f ca="1">MINUTE(I21)</f>
        <v>49</v>
      </c>
    </row>
    <row r="27" spans="1:18">
      <c r="E27" s="12">
        <f t="shared" si="0"/>
        <v>38178.32</v>
      </c>
      <c r="F27" s="13">
        <f t="shared" si="1"/>
        <v>19089.16</v>
      </c>
      <c r="G27" s="12" t="str">
        <f t="shared" si="2"/>
        <v>Stationery Eraser</v>
      </c>
      <c r="K27">
        <f ca="1">WEEKDAY(I22)</f>
        <v>5</v>
      </c>
    </row>
    <row r="28" spans="1:18">
      <c r="E28" s="12">
        <f t="shared" si="0"/>
        <v>13181.94</v>
      </c>
      <c r="F28" s="13">
        <f t="shared" si="1"/>
        <v>6590.97</v>
      </c>
      <c r="G28" s="12" t="str">
        <f t="shared" si="2"/>
        <v>Electronics Headphones</v>
      </c>
      <c r="K28">
        <f ca="1">WEEKNUM(I22)</f>
        <v>5</v>
      </c>
    </row>
    <row r="29" spans="1:18">
      <c r="E29" s="12">
        <f t="shared" si="0"/>
        <v>5805.6</v>
      </c>
      <c r="F29" s="13">
        <f t="shared" si="1"/>
        <v>2902.8</v>
      </c>
      <c r="G29" s="12" t="str">
        <f t="shared" si="2"/>
        <v>Clothing Dress</v>
      </c>
    </row>
    <row r="30" spans="1:18">
      <c r="E30" s="12">
        <f t="shared" si="0"/>
        <v>59443.210000000006</v>
      </c>
      <c r="F30" s="13">
        <f t="shared" si="1"/>
        <v>29721.605000000003</v>
      </c>
      <c r="G30" s="12" t="str">
        <f t="shared" si="2"/>
        <v>Stationery Ruler</v>
      </c>
    </row>
    <row r="31" spans="1:18">
      <c r="E31" s="12">
        <f t="shared" si="0"/>
        <v>30297.3</v>
      </c>
      <c r="F31" s="13">
        <f t="shared" si="1"/>
        <v>15148.65</v>
      </c>
      <c r="G31" s="12" t="str">
        <f t="shared" si="2"/>
        <v>Furniture Table</v>
      </c>
    </row>
    <row r="32" spans="1:18">
      <c r="E32" s="12">
        <f t="shared" si="0"/>
        <v>97926.2</v>
      </c>
      <c r="F32" s="13">
        <f t="shared" si="1"/>
        <v>48963.1</v>
      </c>
      <c r="G32" s="12" t="str">
        <f t="shared" si="2"/>
        <v>Electronics Laptop</v>
      </c>
    </row>
    <row r="33" spans="5:7">
      <c r="E33" s="12">
        <f t="shared" si="0"/>
        <v>91240.400000000009</v>
      </c>
      <c r="F33" s="13">
        <f t="shared" si="1"/>
        <v>45620.200000000004</v>
      </c>
      <c r="G33" s="12" t="str">
        <f t="shared" si="2"/>
        <v>Clothing Pants</v>
      </c>
    </row>
    <row r="34" spans="5:7">
      <c r="E34" s="12">
        <f t="shared" si="0"/>
        <v>29622.39</v>
      </c>
      <c r="F34" s="13">
        <f t="shared" si="1"/>
        <v>14811.195</v>
      </c>
      <c r="G34" s="12" t="str">
        <f t="shared" si="2"/>
        <v>Stationery Eraser</v>
      </c>
    </row>
    <row r="35" spans="5:7">
      <c r="E35" s="12">
        <f t="shared" si="0"/>
        <v>21578.129999999997</v>
      </c>
      <c r="F35" s="13">
        <f t="shared" si="1"/>
        <v>10789.064999999999</v>
      </c>
      <c r="G35" s="12" t="str">
        <f t="shared" si="2"/>
        <v>Clothing Shirt</v>
      </c>
    </row>
    <row r="36" spans="5:7">
      <c r="E36" s="12">
        <f t="shared" si="0"/>
        <v>10058.719999999999</v>
      </c>
      <c r="F36" s="13">
        <f t="shared" si="1"/>
        <v>5029.3599999999997</v>
      </c>
      <c r="G36" s="12" t="str">
        <f t="shared" si="2"/>
        <v>Clothing Pants</v>
      </c>
    </row>
    <row r="37" spans="5:7">
      <c r="E37" s="12">
        <f t="shared" si="0"/>
        <v>26341.399999999998</v>
      </c>
      <c r="F37" s="13">
        <f t="shared" si="1"/>
        <v>13170.699999999999</v>
      </c>
      <c r="G37" s="12" t="str">
        <f t="shared" si="2"/>
        <v>Clothing Shirt</v>
      </c>
    </row>
    <row r="38" spans="5:7">
      <c r="G38" s="12"/>
    </row>
  </sheetData>
  <mergeCells count="1">
    <mergeCell ref="A19:R20"/>
  </mergeCells>
  <conditionalFormatting sqref="F21:F37">
    <cfRule type="colorScale" priority="3">
      <colorScale>
        <cfvo type="min"/>
        <cfvo type="percentile" val="50"/>
        <cfvo type="max"/>
        <color rgb="FFF8696B"/>
        <color rgb="FFFFEB84"/>
        <color rgb="FF63BE7B"/>
      </colorScale>
    </cfRule>
  </conditionalFormatting>
  <conditionalFormatting sqref="E21:E37">
    <cfRule type="dataBar" priority="2">
      <dataBar>
        <cfvo type="min"/>
        <cfvo type="max"/>
        <color rgb="FFD6007B"/>
      </dataBar>
      <extLst>
        <ext xmlns:x14="http://schemas.microsoft.com/office/spreadsheetml/2009/9/main" uri="{B025F937-C7B1-47D3-B67F-A62EFF666E3E}">
          <x14:id>{78231F1C-1F4F-4F08-B756-B258507C5574}</x14:id>
        </ext>
      </extLst>
    </cfRule>
  </conditionalFormatting>
  <conditionalFormatting sqref="G21:G38">
    <cfRule type="duplicateValues" dxfId="11" priority="1"/>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78231F1C-1F4F-4F08-B756-B258507C5574}">
            <x14:dataBar minLength="0" maxLength="100" border="1" negativeBarBorderColorSameAsPositive="0">
              <x14:cfvo type="autoMin"/>
              <x14:cfvo type="autoMax"/>
              <x14:borderColor rgb="FFD6007B"/>
              <x14:negativeFillColor rgb="FFFF0000"/>
              <x14:negativeBorderColor rgb="FFFF0000"/>
              <x14:axisColor rgb="FF000000"/>
            </x14:dataBar>
          </x14:cfRule>
          <xm:sqref>E21:E37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zoomScale="160" zoomScaleNormal="160" workbookViewId="0">
      <selection activeCell="F9" sqref="F9"/>
    </sheetView>
  </sheetViews>
  <sheetFormatPr defaultRowHeight="14.4"/>
  <cols>
    <col min="1" max="1" width="7.33203125" style="23" bestFit="1" customWidth="1"/>
    <col min="2" max="2" width="5.77734375" style="23" bestFit="1" customWidth="1"/>
    <col min="3" max="3" width="6.88671875" style="23" bestFit="1" customWidth="1"/>
    <col min="4" max="4" width="4" style="23" bestFit="1" customWidth="1"/>
    <col min="5" max="5" width="4.109375" style="23" bestFit="1" customWidth="1"/>
    <col min="6" max="6" width="7.33203125" style="23" bestFit="1" customWidth="1"/>
    <col min="7" max="7" width="5.88671875" style="23" bestFit="1" customWidth="1"/>
    <col min="10" max="10" width="5.44140625" bestFit="1" customWidth="1"/>
  </cols>
  <sheetData>
    <row r="1" spans="1:10" ht="15.6" thickTop="1" thickBot="1">
      <c r="A1" s="22" t="s">
        <v>52</v>
      </c>
      <c r="B1" s="22" t="s">
        <v>1</v>
      </c>
      <c r="C1" s="22" t="s">
        <v>53</v>
      </c>
      <c r="D1" s="22" t="s">
        <v>56</v>
      </c>
      <c r="E1" s="22" t="s">
        <v>54</v>
      </c>
      <c r="F1" s="22" t="s">
        <v>55</v>
      </c>
      <c r="G1" s="22" t="s">
        <v>39</v>
      </c>
      <c r="J1" s="21" t="s">
        <v>57</v>
      </c>
    </row>
    <row r="2" spans="1:10" ht="15" thickTop="1">
      <c r="A2" s="23">
        <v>12</v>
      </c>
      <c r="B2" s="23" t="s">
        <v>57</v>
      </c>
      <c r="C2" s="23" t="s">
        <v>58</v>
      </c>
      <c r="H2" t="b">
        <f>ISNUMBER(A4)</f>
        <v>1</v>
      </c>
      <c r="J2" t="b">
        <f>ISTEXT(B2)</f>
        <v>1</v>
      </c>
    </row>
    <row r="3" spans="1:10">
      <c r="A3" s="23">
        <v>13</v>
      </c>
      <c r="C3" s="23" t="s">
        <v>59</v>
      </c>
      <c r="H3" t="b">
        <f>ISNUMBER(J1)</f>
        <v>0</v>
      </c>
    </row>
    <row r="4" spans="1:10">
      <c r="A4" s="23">
        <v>14</v>
      </c>
    </row>
    <row r="5" spans="1:10">
      <c r="A5" s="23">
        <v>15</v>
      </c>
    </row>
    <row r="6" spans="1:10">
      <c r="A6" s="23">
        <v>16</v>
      </c>
    </row>
    <row r="7" spans="1:10">
      <c r="A7" s="23">
        <v>17</v>
      </c>
    </row>
    <row r="8" spans="1:10">
      <c r="A8" s="23">
        <v>18</v>
      </c>
    </row>
    <row r="9" spans="1:10">
      <c r="A9" s="23">
        <v>19</v>
      </c>
    </row>
    <row r="10" spans="1:10">
      <c r="A10" s="23">
        <v>20</v>
      </c>
    </row>
    <row r="11" spans="1:10">
      <c r="A11" s="23">
        <v>21</v>
      </c>
    </row>
    <row r="12" spans="1:10">
      <c r="A12" s="23">
        <v>22</v>
      </c>
    </row>
    <row r="13" spans="1:10">
      <c r="A13" s="23">
        <v>23</v>
      </c>
    </row>
    <row r="14" spans="1:10">
      <c r="A14" s="23">
        <v>24</v>
      </c>
    </row>
    <row r="15" spans="1:10">
      <c r="A15" s="23">
        <v>25</v>
      </c>
    </row>
  </sheetData>
  <dataValidations count="4">
    <dataValidation type="custom" allowBlank="1" showInputMessage="1" showErrorMessage="1" sqref="A1:A15 A17:A1048576">
      <formula1>ISNUMBER(A:A)=TRUE</formula1>
    </dataValidation>
    <dataValidation type="custom" errorStyle="warning" allowBlank="1" showInputMessage="1" showErrorMessage="1" errorTitle="no" error="no to number" sqref="A16">
      <formula1>ISNUMBER(A:A)=TRUE</formula1>
    </dataValidation>
    <dataValidation type="custom" allowBlank="1" showInputMessage="1" showErrorMessage="1" sqref="J3">
      <formula1>ISTEXT(B2)=TRUE</formula1>
    </dataValidation>
    <dataValidation type="textLength" allowBlank="1" showInputMessage="1" showErrorMessage="1" sqref="C1:C1048576">
      <formula1>1</formula1>
      <formula2>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zoomScaleNormal="100" workbookViewId="0">
      <selection activeCell="C1" sqref="A1:C10"/>
    </sheetView>
  </sheetViews>
  <sheetFormatPr defaultRowHeight="14.4"/>
  <cols>
    <col min="3" max="3" width="8.77734375" bestFit="1" customWidth="1"/>
    <col min="4" max="4" width="9.33203125" customWidth="1"/>
    <col min="5" max="5" width="19.6640625" customWidth="1"/>
    <col min="6" max="6" width="16.33203125" customWidth="1"/>
    <col min="7" max="7" width="10.6640625" customWidth="1"/>
    <col min="8" max="8" width="15.5546875" customWidth="1"/>
    <col min="9" max="9" width="16.109375" customWidth="1"/>
    <col min="10" max="10" width="20.6640625" bestFit="1" customWidth="1"/>
    <col min="11" max="11" width="19.77734375" bestFit="1" customWidth="1"/>
    <col min="17" max="18" width="20.109375" bestFit="1" customWidth="1"/>
  </cols>
  <sheetData>
    <row r="1" spans="1:19" ht="15.6" thickTop="1" thickBot="1">
      <c r="A1" s="24" t="s">
        <v>0</v>
      </c>
      <c r="B1" s="24" t="s">
        <v>1</v>
      </c>
      <c r="C1" s="25" t="s">
        <v>11</v>
      </c>
      <c r="D1" s="25" t="s">
        <v>16</v>
      </c>
      <c r="E1" s="25" t="s">
        <v>19</v>
      </c>
      <c r="F1" s="25" t="s">
        <v>20</v>
      </c>
      <c r="G1" s="25" t="s">
        <v>21</v>
      </c>
      <c r="H1" s="25" t="s">
        <v>36</v>
      </c>
      <c r="I1" s="29" t="s">
        <v>37</v>
      </c>
      <c r="Q1" s="7" t="s">
        <v>1</v>
      </c>
      <c r="R1" t="s">
        <v>1</v>
      </c>
    </row>
    <row r="2" spans="1:19" ht="29.4" thickBot="1">
      <c r="A2" s="4">
        <v>1</v>
      </c>
      <c r="B2" s="26" t="s">
        <v>2</v>
      </c>
      <c r="C2" s="26" t="s">
        <v>12</v>
      </c>
      <c r="D2" s="26" t="s">
        <v>17</v>
      </c>
      <c r="E2" s="26" t="s">
        <v>22</v>
      </c>
      <c r="F2" s="26" t="s">
        <v>23</v>
      </c>
      <c r="G2" s="27">
        <v>6</v>
      </c>
      <c r="H2" s="27">
        <v>4016.25</v>
      </c>
      <c r="I2" s="28">
        <v>24097.5</v>
      </c>
      <c r="Q2" s="30" t="s">
        <v>60</v>
      </c>
      <c r="R2" s="30" t="s">
        <v>65</v>
      </c>
      <c r="S2" t="s">
        <v>66</v>
      </c>
    </row>
    <row r="3" spans="1:19" ht="29.4" thickBot="1">
      <c r="A3" s="4">
        <v>2</v>
      </c>
      <c r="B3" s="26" t="s">
        <v>3</v>
      </c>
      <c r="C3" s="26" t="s">
        <v>13</v>
      </c>
      <c r="D3" s="26" t="s">
        <v>18</v>
      </c>
      <c r="E3" s="26" t="s">
        <v>24</v>
      </c>
      <c r="F3" s="26" t="s">
        <v>25</v>
      </c>
      <c r="G3" s="27">
        <v>9</v>
      </c>
      <c r="H3" s="27">
        <v>3801.85</v>
      </c>
      <c r="I3" s="28">
        <v>34216.65</v>
      </c>
      <c r="J3" s="11" t="s">
        <v>78</v>
      </c>
      <c r="Q3" s="30" t="s">
        <v>61</v>
      </c>
      <c r="R3" s="30" t="s">
        <v>67</v>
      </c>
      <c r="S3" t="s">
        <v>68</v>
      </c>
    </row>
    <row r="4" spans="1:19" ht="29.4" thickBot="1">
      <c r="A4" s="4">
        <v>3</v>
      </c>
      <c r="B4" s="26" t="s">
        <v>4</v>
      </c>
      <c r="C4" s="26" t="s">
        <v>14</v>
      </c>
      <c r="D4" s="26" t="s">
        <v>18</v>
      </c>
      <c r="E4" s="26" t="s">
        <v>24</v>
      </c>
      <c r="F4" s="26" t="s">
        <v>25</v>
      </c>
      <c r="G4" s="27">
        <v>11</v>
      </c>
      <c r="H4" s="27">
        <v>3594.07</v>
      </c>
      <c r="I4" s="28">
        <v>39534.769999999997</v>
      </c>
      <c r="Q4" s="30" t="s">
        <v>62</v>
      </c>
      <c r="R4" s="30" t="s">
        <v>69</v>
      </c>
      <c r="S4" t="s">
        <v>70</v>
      </c>
    </row>
    <row r="5" spans="1:19" ht="29.4" thickBot="1">
      <c r="A5" s="4">
        <v>4</v>
      </c>
      <c r="B5" s="26" t="s">
        <v>3</v>
      </c>
      <c r="C5" s="26" t="s">
        <v>13</v>
      </c>
      <c r="D5" s="26" t="s">
        <v>18</v>
      </c>
      <c r="E5" s="26" t="s">
        <v>26</v>
      </c>
      <c r="F5" s="26" t="s">
        <v>27</v>
      </c>
      <c r="G5" s="27">
        <v>9</v>
      </c>
      <c r="H5" s="27">
        <v>4487</v>
      </c>
      <c r="I5" s="28">
        <v>40383</v>
      </c>
      <c r="Q5" s="30" t="s">
        <v>63</v>
      </c>
      <c r="R5" s="30" t="s">
        <v>71</v>
      </c>
      <c r="S5" t="s">
        <v>72</v>
      </c>
    </row>
    <row r="6" spans="1:19" ht="29.4" thickBot="1">
      <c r="A6" s="4">
        <v>5</v>
      </c>
      <c r="B6" s="26" t="s">
        <v>5</v>
      </c>
      <c r="C6" s="26" t="s">
        <v>12</v>
      </c>
      <c r="D6" s="26" t="s">
        <v>17</v>
      </c>
      <c r="E6" s="26" t="s">
        <v>28</v>
      </c>
      <c r="F6" s="26" t="s">
        <v>29</v>
      </c>
      <c r="G6" s="27">
        <v>17</v>
      </c>
      <c r="H6" s="27">
        <v>1240.77</v>
      </c>
      <c r="I6" s="28">
        <v>21093.09</v>
      </c>
      <c r="Q6" s="30" t="s">
        <v>64</v>
      </c>
      <c r="R6" s="30" t="s">
        <v>73</v>
      </c>
      <c r="S6" t="s">
        <v>74</v>
      </c>
    </row>
    <row r="7" spans="1:19" ht="29.4" thickBot="1">
      <c r="A7" s="4">
        <v>6</v>
      </c>
      <c r="B7" s="26" t="s">
        <v>6</v>
      </c>
      <c r="C7" s="26" t="s">
        <v>13</v>
      </c>
      <c r="D7" s="26" t="s">
        <v>18</v>
      </c>
      <c r="E7" s="26" t="s">
        <v>24</v>
      </c>
      <c r="F7" s="26" t="s">
        <v>30</v>
      </c>
      <c r="G7" s="27">
        <v>7</v>
      </c>
      <c r="H7" s="27">
        <v>4772.29</v>
      </c>
      <c r="I7" s="28">
        <v>33406.03</v>
      </c>
    </row>
    <row r="8" spans="1:19" ht="29.4" thickBot="1">
      <c r="A8" s="4">
        <v>7</v>
      </c>
      <c r="B8" s="26" t="s">
        <v>7</v>
      </c>
      <c r="C8" s="26" t="s">
        <v>14</v>
      </c>
      <c r="D8" s="26" t="s">
        <v>18</v>
      </c>
      <c r="E8" s="26" t="s">
        <v>31</v>
      </c>
      <c r="F8" s="26" t="s">
        <v>32</v>
      </c>
      <c r="G8" s="27">
        <v>5</v>
      </c>
      <c r="H8" s="27">
        <v>2196.9899999999998</v>
      </c>
      <c r="I8" s="28">
        <v>10984.95</v>
      </c>
    </row>
    <row r="9" spans="1:19" ht="15" thickBot="1">
      <c r="A9" s="4">
        <v>8</v>
      </c>
      <c r="B9" s="26" t="s">
        <v>8</v>
      </c>
      <c r="C9" s="26" t="s">
        <v>15</v>
      </c>
      <c r="D9" s="26" t="s">
        <v>17</v>
      </c>
      <c r="E9" s="26" t="s">
        <v>26</v>
      </c>
      <c r="F9" s="26" t="s">
        <v>27</v>
      </c>
      <c r="G9" s="27">
        <v>5</v>
      </c>
      <c r="H9" s="27">
        <v>967.6</v>
      </c>
      <c r="I9" s="28">
        <v>4838</v>
      </c>
      <c r="K9" s="4" t="s">
        <v>76</v>
      </c>
    </row>
    <row r="10" spans="1:19" ht="29.4" thickBot="1">
      <c r="A10" s="4">
        <v>9</v>
      </c>
      <c r="B10" s="26" t="s">
        <v>3</v>
      </c>
      <c r="C10" s="26" t="s">
        <v>13</v>
      </c>
      <c r="D10" s="26" t="s">
        <v>18</v>
      </c>
      <c r="E10" s="26" t="s">
        <v>24</v>
      </c>
      <c r="F10" s="26" t="s">
        <v>25</v>
      </c>
      <c r="G10" s="27">
        <v>18</v>
      </c>
      <c r="H10" s="27">
        <v>3128.59</v>
      </c>
      <c r="I10" s="28">
        <v>56314.62</v>
      </c>
      <c r="K10" s="32" t="s">
        <v>77</v>
      </c>
    </row>
    <row r="11" spans="1:19" ht="19.2" thickTop="1" thickBot="1">
      <c r="K11" s="31" t="s">
        <v>1</v>
      </c>
      <c r="L11" s="31" t="s">
        <v>75</v>
      </c>
    </row>
    <row r="12" spans="1:19" ht="15" thickTop="1">
      <c r="K12" t="s">
        <v>12</v>
      </c>
      <c r="L12">
        <f>VLOOKUP(K12,$C:$I,7,0)</f>
        <v>24097.5</v>
      </c>
      <c r="N12">
        <v>7</v>
      </c>
    </row>
    <row r="13" spans="1:19">
      <c r="K13" t="s">
        <v>13</v>
      </c>
      <c r="L13">
        <f>VLOOKUP(K13,$C:$I,6,0)</f>
        <v>3801.85</v>
      </c>
      <c r="N13">
        <v>6</v>
      </c>
    </row>
    <row r="14" spans="1:19">
      <c r="K14" t="s">
        <v>13</v>
      </c>
      <c r="L14">
        <f>VLOOKUP(K14,$C:$I,7,0)</f>
        <v>34216.65</v>
      </c>
    </row>
  </sheetData>
  <hyperlinks>
    <hyperlink ref="I1" location="Sheet1!I1" display="Sales Amount"/>
    <hyperlink ref="Q2" r:id="rId1"/>
    <hyperlink ref="Q3" r:id="rId2"/>
    <hyperlink ref="Q4" r:id="rId3"/>
    <hyperlink ref="Q5" r:id="rId4"/>
    <hyperlink ref="Q6" r:id="rId5"/>
    <hyperlink ref="R2" r:id="rId6" display="cdbvcy@b ucid"/>
    <hyperlink ref="R3" r:id="rId7" display="csvych@bki"/>
    <hyperlink ref="R4" r:id="rId8" display="bvdsvbdsyhu@bcjkdsv"/>
    <hyperlink ref="R5" r:id="rId9" display="cvdsyuv@bhcvds"/>
    <hyperlink ref="R6" r:id="rId10" display="vgvu@vgjbk"/>
  </hyperlinks>
  <pageMargins left="0.7" right="0.7" top="0.75" bottom="0.75" header="0.3" footer="0.3"/>
  <pageSetup orientation="portrait" r:id="rId11"/>
  <drawing r:id="rId12"/>
  <tableParts count="1">
    <tablePart r:id="rId13"/>
  </tableParts>
  <extLst>
    <ext xmlns:x15="http://schemas.microsoft.com/office/spreadsheetml/2010/11/main" uri="{3A4CF648-6AED-40f4-86FF-DC5316D8AED3}">
      <x14:slicerList xmlns:x14="http://schemas.microsoft.com/office/spreadsheetml/2009/9/main">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tabSelected="1" workbookViewId="0">
      <selection activeCell="N28" sqref="N28"/>
    </sheetView>
  </sheetViews>
  <sheetFormatPr defaultRowHeight="14.4"/>
  <cols>
    <col min="1" max="1" width="8" customWidth="1"/>
    <col min="2" max="2" width="13.6640625" customWidth="1"/>
    <col min="3" max="3" width="12.5546875" customWidth="1"/>
  </cols>
  <sheetData>
    <row r="3" spans="1:3">
      <c r="A3" s="34" t="s">
        <v>1</v>
      </c>
      <c r="B3" t="s">
        <v>82</v>
      </c>
      <c r="C3" t="s">
        <v>83</v>
      </c>
    </row>
    <row r="4" spans="1:3">
      <c r="A4" t="s">
        <v>7</v>
      </c>
      <c r="B4" s="23">
        <v>1</v>
      </c>
      <c r="C4" s="23">
        <v>7</v>
      </c>
    </row>
    <row r="5" spans="1:3">
      <c r="A5" t="s">
        <v>5</v>
      </c>
      <c r="B5" s="23">
        <v>1</v>
      </c>
      <c r="C5" s="23">
        <v>5</v>
      </c>
    </row>
    <row r="6" spans="1:3">
      <c r="A6" t="s">
        <v>6</v>
      </c>
      <c r="B6" s="23">
        <v>1</v>
      </c>
      <c r="C6" s="23">
        <v>6</v>
      </c>
    </row>
    <row r="7" spans="1:3">
      <c r="A7" t="s">
        <v>2</v>
      </c>
      <c r="B7" s="23">
        <v>1</v>
      </c>
      <c r="C7" s="23">
        <v>1</v>
      </c>
    </row>
    <row r="8" spans="1:3">
      <c r="A8" t="s">
        <v>4</v>
      </c>
      <c r="B8" s="23">
        <v>1</v>
      </c>
      <c r="C8" s="23">
        <v>3</v>
      </c>
    </row>
    <row r="9" spans="1:3">
      <c r="A9" t="s">
        <v>8</v>
      </c>
      <c r="B9" s="23">
        <v>1</v>
      </c>
      <c r="C9" s="23">
        <v>8</v>
      </c>
    </row>
    <row r="10" spans="1:3">
      <c r="A10" t="s">
        <v>3</v>
      </c>
      <c r="B10" s="23">
        <v>3</v>
      </c>
      <c r="C10" s="23">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zoomScale="145" zoomScaleNormal="145" workbookViewId="0">
      <selection activeCell="A8" sqref="A1:B10"/>
    </sheetView>
  </sheetViews>
  <sheetFormatPr defaultRowHeight="14.4"/>
  <cols>
    <col min="1" max="1" width="7.21875" bestFit="1" customWidth="1"/>
    <col min="2" max="2" width="14.33203125" bestFit="1" customWidth="1"/>
  </cols>
  <sheetData>
    <row r="1" spans="1:2" ht="15" thickBot="1">
      <c r="A1" s="24" t="s">
        <v>1</v>
      </c>
      <c r="B1" s="25" t="s">
        <v>36</v>
      </c>
    </row>
    <row r="2" spans="1:2" ht="15" thickBot="1">
      <c r="A2" s="26" t="s">
        <v>2</v>
      </c>
      <c r="B2" s="27">
        <v>4016.25</v>
      </c>
    </row>
    <row r="3" spans="1:2" ht="15" thickBot="1">
      <c r="A3" s="26" t="s">
        <v>3</v>
      </c>
      <c r="B3" s="27">
        <v>3801.85</v>
      </c>
    </row>
    <row r="4" spans="1:2" ht="15" thickBot="1">
      <c r="A4" s="26" t="s">
        <v>4</v>
      </c>
      <c r="B4" s="27">
        <v>3594.07</v>
      </c>
    </row>
    <row r="5" spans="1:2" ht="15" thickBot="1">
      <c r="A5" s="26" t="s">
        <v>3</v>
      </c>
      <c r="B5" s="27">
        <v>4487</v>
      </c>
    </row>
    <row r="6" spans="1:2" ht="15" thickBot="1">
      <c r="A6" s="26" t="s">
        <v>5</v>
      </c>
      <c r="B6" s="27">
        <v>1240.77</v>
      </c>
    </row>
    <row r="7" spans="1:2" ht="15" thickBot="1">
      <c r="A7" s="26" t="s">
        <v>6</v>
      </c>
      <c r="B7" s="27">
        <v>4772.29</v>
      </c>
    </row>
    <row r="8" spans="1:2" ht="15" thickBot="1">
      <c r="A8" s="26" t="s">
        <v>7</v>
      </c>
      <c r="B8" s="27">
        <v>2196.9899999999998</v>
      </c>
    </row>
    <row r="9" spans="1:2" ht="15" thickBot="1">
      <c r="A9" s="26" t="s">
        <v>8</v>
      </c>
      <c r="B9" s="27">
        <v>967.6</v>
      </c>
    </row>
    <row r="10" spans="1:2" ht="15" thickBot="1">
      <c r="A10" s="26" t="s">
        <v>3</v>
      </c>
      <c r="B10" s="27">
        <v>3128.59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Sheet5</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kumar</dc:creator>
  <cp:lastModifiedBy>YASH</cp:lastModifiedBy>
  <dcterms:created xsi:type="dcterms:W3CDTF">2025-09-26T09:49:23Z</dcterms:created>
  <dcterms:modified xsi:type="dcterms:W3CDTF">2026-01-28T19:19:26Z</dcterms:modified>
</cp:coreProperties>
</file>